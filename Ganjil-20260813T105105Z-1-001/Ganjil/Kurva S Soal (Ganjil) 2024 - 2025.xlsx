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s\Documents\Kuliah\Semester 6\Seleksi Asdos Mankon\"/>
    </mc:Choice>
  </mc:AlternateContent>
  <xr:revisionPtr revIDLastSave="0" documentId="13_ncr:1_{7A512F4B-7881-40D3-AB73-F9F365E78C85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Kurva S" sheetId="1" r:id="rId1"/>
  </sheets>
  <externalReferences>
    <externalReference r:id="rId2"/>
    <externalReference r:id="rId3"/>
  </externalReferences>
  <definedNames>
    <definedName name="_MMM37">'[1]4-Basic Price'!$F$90</definedName>
    <definedName name="DATAUPAH">'[1]4-Basic Price'!$D$8:$F$38</definedName>
    <definedName name="_xlnm.Print_Area" localSheetId="0">'Kurva S'!$B$1:$BD$69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64" i="1" l="1"/>
  <c r="I63" i="1"/>
  <c r="I65" i="1" s="1"/>
  <c r="J12" i="1" s="1"/>
  <c r="I62" i="1"/>
  <c r="I59" i="1"/>
  <c r="I58" i="1"/>
  <c r="I57" i="1"/>
  <c r="I56" i="1"/>
  <c r="I55" i="1"/>
  <c r="I54" i="1"/>
  <c r="I53" i="1"/>
  <c r="I50" i="1"/>
  <c r="I49" i="1"/>
  <c r="I48" i="1"/>
  <c r="I44" i="1"/>
  <c r="I43" i="1"/>
  <c r="I42" i="1"/>
  <c r="I41" i="1"/>
  <c r="I40" i="1"/>
  <c r="I37" i="1"/>
  <c r="I36" i="1"/>
  <c r="I33" i="1"/>
  <c r="I32" i="1"/>
  <c r="I29" i="1"/>
  <c r="I28" i="1"/>
  <c r="I27" i="1"/>
  <c r="I26" i="1"/>
  <c r="I25" i="1"/>
  <c r="I24" i="1"/>
  <c r="I21" i="1"/>
  <c r="I20" i="1"/>
  <c r="I19" i="1"/>
  <c r="I18" i="1"/>
  <c r="I15" i="1"/>
  <c r="I14" i="1"/>
  <c r="I13" i="1"/>
  <c r="I12" i="1"/>
  <c r="I11" i="1"/>
  <c r="J54" i="1" l="1"/>
  <c r="AX54" i="1" s="1"/>
  <c r="AE12" i="1"/>
  <c r="S12" i="1"/>
  <c r="AR12" i="1"/>
  <c r="AS12" i="1"/>
  <c r="AO12" i="1"/>
  <c r="J53" i="1"/>
  <c r="AY53" i="1" s="1"/>
  <c r="AD12" i="1"/>
  <c r="AU12" i="1"/>
  <c r="O12" i="1"/>
  <c r="AH12" i="1"/>
  <c r="AT12" i="1"/>
  <c r="AM12" i="1"/>
  <c r="BD12" i="1"/>
  <c r="AK12" i="1"/>
  <c r="AN12" i="1"/>
  <c r="AA12" i="1"/>
  <c r="AQ12" i="1"/>
  <c r="Q12" i="1"/>
  <c r="AY12" i="1"/>
  <c r="BA12" i="1"/>
  <c r="X12" i="1"/>
  <c r="AF12" i="1"/>
  <c r="AG12" i="1"/>
  <c r="P12" i="1"/>
  <c r="AB12" i="1"/>
  <c r="AZ12" i="1"/>
  <c r="AP12" i="1"/>
  <c r="AL12" i="1"/>
  <c r="AJ12" i="1"/>
  <c r="V12" i="1"/>
  <c r="AV12" i="1"/>
  <c r="M12" i="1"/>
  <c r="AW12" i="1"/>
  <c r="R12" i="1"/>
  <c r="BC12" i="1"/>
  <c r="AC12" i="1"/>
  <c r="J41" i="1"/>
  <c r="J64" i="1"/>
  <c r="J32" i="1"/>
  <c r="J44" i="1"/>
  <c r="J62" i="1"/>
  <c r="J48" i="1"/>
  <c r="J43" i="1"/>
  <c r="J28" i="1"/>
  <c r="J50" i="1"/>
  <c r="J25" i="1"/>
  <c r="J42" i="1"/>
  <c r="J13" i="1"/>
  <c r="J55" i="1"/>
  <c r="J20" i="1"/>
  <c r="J49" i="1"/>
  <c r="J29" i="1"/>
  <c r="J57" i="1"/>
  <c r="J59" i="1"/>
  <c r="J26" i="1"/>
  <c r="J36" i="1"/>
  <c r="J14" i="1"/>
  <c r="J21" i="1"/>
  <c r="J27" i="1"/>
  <c r="J56" i="1"/>
  <c r="J11" i="1"/>
  <c r="J18" i="1"/>
  <c r="J24" i="1"/>
  <c r="J19" i="1"/>
  <c r="J37" i="1"/>
  <c r="AZ53" i="1"/>
  <c r="L12" i="1"/>
  <c r="AX12" i="1"/>
  <c r="U12" i="1"/>
  <c r="N12" i="1"/>
  <c r="W12" i="1"/>
  <c r="Y12" i="1"/>
  <c r="T12" i="1"/>
  <c r="AW54" i="1"/>
  <c r="BB12" i="1"/>
  <c r="K12" i="1"/>
  <c r="AI12" i="1"/>
  <c r="J15" i="1"/>
  <c r="J33" i="1"/>
  <c r="Z12" i="1"/>
  <c r="J58" i="1"/>
  <c r="J63" i="1"/>
  <c r="J40" i="1"/>
  <c r="BB63" i="1" l="1"/>
  <c r="AZ63" i="1"/>
  <c r="BA63" i="1"/>
  <c r="AY63" i="1"/>
  <c r="M15" i="1"/>
  <c r="L15" i="1"/>
  <c r="AH19" i="1"/>
  <c r="AE19" i="1"/>
  <c r="AD19" i="1"/>
  <c r="AI19" i="1"/>
  <c r="AF19" i="1"/>
  <c r="AB19" i="1"/>
  <c r="AA19" i="1"/>
  <c r="AG19" i="1"/>
  <c r="Z19" i="1"/>
  <c r="V19" i="1"/>
  <c r="AC19" i="1"/>
  <c r="AJ19" i="1"/>
  <c r="W19" i="1"/>
  <c r="U19" i="1"/>
  <c r="X19" i="1"/>
  <c r="Y19" i="1"/>
  <c r="AA18" i="1"/>
  <c r="AF18" i="1"/>
  <c r="AE18" i="1"/>
  <c r="AB18" i="1"/>
  <c r="V18" i="1"/>
  <c r="U18" i="1"/>
  <c r="T18" i="1"/>
  <c r="AD18" i="1"/>
  <c r="S18" i="1"/>
  <c r="W18" i="1"/>
  <c r="AH18" i="1"/>
  <c r="Z18" i="1"/>
  <c r="X18" i="1"/>
  <c r="AG18" i="1"/>
  <c r="Y18" i="1"/>
  <c r="AC18" i="1"/>
  <c r="AX56" i="1"/>
  <c r="AS56" i="1"/>
  <c r="AT56" i="1"/>
  <c r="AV56" i="1"/>
  <c r="AW56" i="1"/>
  <c r="AU56" i="1"/>
  <c r="AF21" i="1"/>
  <c r="AD21" i="1"/>
  <c r="AG21" i="1"/>
  <c r="AC21" i="1"/>
  <c r="AE21" i="1"/>
  <c r="AH21" i="1"/>
  <c r="AM36" i="1"/>
  <c r="W36" i="1"/>
  <c r="AC36" i="1"/>
  <c r="AB36" i="1"/>
  <c r="AA36" i="1"/>
  <c r="AD36" i="1"/>
  <c r="Z36" i="1"/>
  <c r="Y36" i="1"/>
  <c r="X36" i="1"/>
  <c r="AG36" i="1"/>
  <c r="AE36" i="1"/>
  <c r="AJ36" i="1"/>
  <c r="AF36" i="1"/>
  <c r="AO36" i="1"/>
  <c r="AL36" i="1"/>
  <c r="AK36" i="1"/>
  <c r="AI36" i="1"/>
  <c r="AP36" i="1"/>
  <c r="AN36" i="1"/>
  <c r="AH36" i="1"/>
  <c r="AZ59" i="1"/>
  <c r="AX59" i="1"/>
  <c r="AY59" i="1"/>
  <c r="AW59" i="1"/>
  <c r="N29" i="1"/>
  <c r="P29" i="1"/>
  <c r="M29" i="1"/>
  <c r="O29" i="1"/>
  <c r="AE20" i="1"/>
  <c r="AD20" i="1"/>
  <c r="AF20" i="1"/>
  <c r="AC20" i="1"/>
  <c r="M13" i="1"/>
  <c r="BC13" i="1"/>
  <c r="AA13" i="1"/>
  <c r="N13" i="1"/>
  <c r="AB13" i="1"/>
  <c r="Y13" i="1"/>
  <c r="AS13" i="1"/>
  <c r="O13" i="1"/>
  <c r="K13" i="1"/>
  <c r="AP13" i="1"/>
  <c r="V13" i="1"/>
  <c r="AQ13" i="1"/>
  <c r="P13" i="1"/>
  <c r="AE13" i="1"/>
  <c r="S13" i="1"/>
  <c r="X13" i="1"/>
  <c r="W13" i="1"/>
  <c r="U13" i="1"/>
  <c r="Q13" i="1"/>
  <c r="AC13" i="1"/>
  <c r="AL13" i="1"/>
  <c r="AN13" i="1"/>
  <c r="AW13" i="1"/>
  <c r="AD13" i="1"/>
  <c r="AK13" i="1"/>
  <c r="AG13" i="1"/>
  <c r="R13" i="1"/>
  <c r="Z13" i="1"/>
  <c r="AO13" i="1"/>
  <c r="AR13" i="1"/>
  <c r="AY13" i="1"/>
  <c r="BB13" i="1"/>
  <c r="L13" i="1"/>
  <c r="AI13" i="1"/>
  <c r="T13" i="1"/>
  <c r="BD13" i="1"/>
  <c r="AH13" i="1"/>
  <c r="AJ13" i="1"/>
  <c r="BA13" i="1"/>
  <c r="AF13" i="1"/>
  <c r="AM13" i="1"/>
  <c r="AZ13" i="1"/>
  <c r="AX13" i="1"/>
  <c r="AV13" i="1"/>
  <c r="AT13" i="1"/>
  <c r="AU13" i="1"/>
  <c r="W25" i="1"/>
  <c r="T25" i="1"/>
  <c r="X25" i="1"/>
  <c r="S25" i="1"/>
  <c r="U25" i="1"/>
  <c r="V25" i="1"/>
  <c r="Q25" i="1"/>
  <c r="R25" i="1"/>
  <c r="P25" i="1"/>
  <c r="O25" i="1"/>
  <c r="AN28" i="1"/>
  <c r="AJ28" i="1"/>
  <c r="AI28" i="1"/>
  <c r="AH28" i="1"/>
  <c r="W28" i="1"/>
  <c r="Y28" i="1"/>
  <c r="Z28" i="1"/>
  <c r="AD28" i="1"/>
  <c r="AC28" i="1"/>
  <c r="AM28" i="1"/>
  <c r="AO28" i="1"/>
  <c r="AG28" i="1"/>
  <c r="AB28" i="1"/>
  <c r="AL28" i="1"/>
  <c r="AK28" i="1"/>
  <c r="AE28" i="1"/>
  <c r="AA28" i="1"/>
  <c r="AP28" i="1"/>
  <c r="AF28" i="1"/>
  <c r="U28" i="1"/>
  <c r="V28" i="1"/>
  <c r="S28" i="1"/>
  <c r="X28" i="1"/>
  <c r="T28" i="1"/>
  <c r="AF48" i="1"/>
  <c r="AC48" i="1"/>
  <c r="AB48" i="1"/>
  <c r="AI48" i="1"/>
  <c r="AH48" i="1"/>
  <c r="AG48" i="1"/>
  <c r="AJ48" i="1"/>
  <c r="AA48" i="1"/>
  <c r="AD48" i="1"/>
  <c r="AE48" i="1"/>
  <c r="AR44" i="1"/>
  <c r="AV44" i="1"/>
  <c r="AW44" i="1"/>
  <c r="AU44" i="1"/>
  <c r="AX44" i="1"/>
  <c r="AS44" i="1"/>
  <c r="AQ44" i="1"/>
  <c r="AT44" i="1"/>
  <c r="BD64" i="1"/>
  <c r="BB64" i="1"/>
  <c r="BA64" i="1"/>
  <c r="BC64" i="1"/>
  <c r="AM40" i="1"/>
  <c r="AN40" i="1"/>
  <c r="AH40" i="1"/>
  <c r="AJ40" i="1"/>
  <c r="AP40" i="1"/>
  <c r="AG40" i="1"/>
  <c r="AO40" i="1"/>
  <c r="AQ40" i="1"/>
  <c r="AK40" i="1"/>
  <c r="AL40" i="1"/>
  <c r="AR40" i="1"/>
  <c r="AI40" i="1"/>
  <c r="AO58" i="1"/>
  <c r="AQ58" i="1"/>
  <c r="AM58" i="1"/>
  <c r="AR58" i="1"/>
  <c r="AP58" i="1"/>
  <c r="AN58" i="1"/>
  <c r="AS33" i="1"/>
  <c r="AX33" i="1"/>
  <c r="AU33" i="1"/>
  <c r="AT33" i="1"/>
  <c r="AO33" i="1"/>
  <c r="AY33" i="1"/>
  <c r="AV33" i="1"/>
  <c r="AQ33" i="1"/>
  <c r="AP33" i="1"/>
  <c r="BB33" i="1"/>
  <c r="BA33" i="1"/>
  <c r="AZ33" i="1"/>
  <c r="AW33" i="1"/>
  <c r="AR33" i="1"/>
  <c r="AH37" i="1"/>
  <c r="AN37" i="1"/>
  <c r="AM37" i="1"/>
  <c r="AL37" i="1"/>
  <c r="AO37" i="1"/>
  <c r="AK37" i="1"/>
  <c r="AI37" i="1"/>
  <c r="AC37" i="1"/>
  <c r="AR37" i="1"/>
  <c r="AA37" i="1"/>
  <c r="AP37" i="1"/>
  <c r="Z37" i="1"/>
  <c r="AF37" i="1"/>
  <c r="AE37" i="1"/>
  <c r="AD37" i="1"/>
  <c r="Y37" i="1"/>
  <c r="AJ37" i="1"/>
  <c r="AG37" i="1"/>
  <c r="AQ37" i="1"/>
  <c r="AB37" i="1"/>
  <c r="AE24" i="1"/>
  <c r="O24" i="1"/>
  <c r="AB24" i="1"/>
  <c r="AI24" i="1"/>
  <c r="S24" i="1"/>
  <c r="Q24" i="1"/>
  <c r="Z24" i="1"/>
  <c r="Y24" i="1"/>
  <c r="X24" i="1"/>
  <c r="V24" i="1"/>
  <c r="AC24" i="1"/>
  <c r="U24" i="1"/>
  <c r="W24" i="1"/>
  <c r="T24" i="1"/>
  <c r="AD24" i="1"/>
  <c r="N24" i="1"/>
  <c r="AH24" i="1"/>
  <c r="AG24" i="1"/>
  <c r="AJ24" i="1"/>
  <c r="AA24" i="1"/>
  <c r="P24" i="1"/>
  <c r="M24" i="1"/>
  <c r="R24" i="1"/>
  <c r="AF24" i="1"/>
  <c r="M11" i="1"/>
  <c r="K11" i="1"/>
  <c r="N11" i="1"/>
  <c r="O11" i="1"/>
  <c r="Q11" i="1"/>
  <c r="P11" i="1"/>
  <c r="R11" i="1"/>
  <c r="L11" i="1"/>
  <c r="J65" i="1"/>
  <c r="AN27" i="1"/>
  <c r="AE27" i="1"/>
  <c r="AI27" i="1"/>
  <c r="X27" i="1"/>
  <c r="V27" i="1"/>
  <c r="U27" i="1"/>
  <c r="AG27" i="1"/>
  <c r="AK27" i="1"/>
  <c r="Y27" i="1"/>
  <c r="AJ27" i="1"/>
  <c r="AL27" i="1"/>
  <c r="AC27" i="1"/>
  <c r="AH27" i="1"/>
  <c r="AM27" i="1"/>
  <c r="AA27" i="1"/>
  <c r="Q27" i="1"/>
  <c r="AD27" i="1"/>
  <c r="S27" i="1"/>
  <c r="AF27" i="1"/>
  <c r="W27" i="1"/>
  <c r="AB27" i="1"/>
  <c r="R27" i="1"/>
  <c r="Z27" i="1"/>
  <c r="T27" i="1"/>
  <c r="M14" i="1"/>
  <c r="N14" i="1"/>
  <c r="L14" i="1"/>
  <c r="O14" i="1"/>
  <c r="X26" i="1"/>
  <c r="T26" i="1"/>
  <c r="Q26" i="1"/>
  <c r="V26" i="1"/>
  <c r="S26" i="1"/>
  <c r="W26" i="1"/>
  <c r="R26" i="1"/>
  <c r="U26" i="1"/>
  <c r="AX57" i="1"/>
  <c r="AV57" i="1"/>
  <c r="AW57" i="1"/>
  <c r="AU57" i="1"/>
  <c r="AO49" i="1"/>
  <c r="AM49" i="1"/>
  <c r="AK49" i="1"/>
  <c r="AP49" i="1"/>
  <c r="AN49" i="1"/>
  <c r="AL49" i="1"/>
  <c r="AW55" i="1"/>
  <c r="AX55" i="1"/>
  <c r="AO42" i="1"/>
  <c r="AN42" i="1"/>
  <c r="AM42" i="1"/>
  <c r="AI42" i="1"/>
  <c r="AJ42" i="1"/>
  <c r="AR42" i="1"/>
  <c r="AH42" i="1"/>
  <c r="AG42" i="1"/>
  <c r="AP42" i="1"/>
  <c r="AK42" i="1"/>
  <c r="AL42" i="1"/>
  <c r="AQ42" i="1"/>
  <c r="AJ50" i="1"/>
  <c r="AI50" i="1"/>
  <c r="AP50" i="1"/>
  <c r="Z50" i="1"/>
  <c r="AO50" i="1"/>
  <c r="AN50" i="1"/>
  <c r="X50" i="1"/>
  <c r="AE50" i="1"/>
  <c r="AL50" i="1"/>
  <c r="AK50" i="1"/>
  <c r="AA50" i="1"/>
  <c r="AG50" i="1"/>
  <c r="AF50" i="1"/>
  <c r="W50" i="1"/>
  <c r="AC50" i="1"/>
  <c r="AH50" i="1"/>
  <c r="AM50" i="1"/>
  <c r="AB50" i="1"/>
  <c r="Y50" i="1"/>
  <c r="AD50" i="1"/>
  <c r="AV43" i="1"/>
  <c r="AT43" i="1"/>
  <c r="AO43" i="1"/>
  <c r="AL43" i="1"/>
  <c r="AN43" i="1"/>
  <c r="AP43" i="1"/>
  <c r="AM43" i="1"/>
  <c r="AQ43" i="1"/>
  <c r="AR43" i="1"/>
  <c r="AK43" i="1"/>
  <c r="AS43" i="1"/>
  <c r="AU43" i="1"/>
  <c r="BA62" i="1"/>
  <c r="AY62" i="1"/>
  <c r="AZ62" i="1"/>
  <c r="BB62" i="1"/>
  <c r="AJ32" i="1"/>
  <c r="AE32" i="1"/>
  <c r="AG32" i="1"/>
  <c r="AD32" i="1"/>
  <c r="AA32" i="1"/>
  <c r="Z32" i="1"/>
  <c r="AC32" i="1"/>
  <c r="AF32" i="1"/>
  <c r="W32" i="1"/>
  <c r="X32" i="1"/>
  <c r="AH32" i="1"/>
  <c r="AB32" i="1"/>
  <c r="Y32" i="1"/>
  <c r="AI32" i="1"/>
  <c r="AV41" i="1"/>
  <c r="AU41" i="1"/>
  <c r="AL41" i="1"/>
  <c r="AK41" i="1"/>
  <c r="AW41" i="1"/>
  <c r="AO41" i="1"/>
  <c r="AX41" i="1"/>
  <c r="AN41" i="1"/>
  <c r="AS41" i="1"/>
  <c r="AP41" i="1"/>
  <c r="AQ41" i="1"/>
  <c r="AT41" i="1"/>
  <c r="AM41" i="1"/>
  <c r="AR41" i="1"/>
  <c r="AW68" i="1"/>
  <c r="BD68" i="1" l="1"/>
  <c r="AQ68" i="1"/>
  <c r="AB68" i="1"/>
  <c r="AA68" i="1"/>
  <c r="AJ68" i="1"/>
  <c r="X68" i="1"/>
  <c r="BC68" i="1"/>
  <c r="AF68" i="1"/>
  <c r="BB68" i="1"/>
  <c r="AV68" i="1"/>
  <c r="M68" i="1"/>
  <c r="AM68" i="1"/>
  <c r="W68" i="1"/>
  <c r="AC68" i="1"/>
  <c r="AP68" i="1"/>
  <c r="Z68" i="1"/>
  <c r="U68" i="1"/>
  <c r="AI68" i="1"/>
  <c r="AZ68" i="1"/>
  <c r="AL68" i="1"/>
  <c r="AN68" i="1"/>
  <c r="AT68" i="1"/>
  <c r="AX68" i="1"/>
  <c r="BA68" i="1"/>
  <c r="T68" i="1"/>
  <c r="AY68" i="1"/>
  <c r="AK68" i="1"/>
  <c r="V68" i="1"/>
  <c r="AS68" i="1"/>
  <c r="AG68" i="1"/>
  <c r="Y68" i="1"/>
  <c r="R68" i="1"/>
  <c r="Q68" i="1"/>
  <c r="N68" i="1"/>
  <c r="AH68" i="1"/>
  <c r="AO68" i="1"/>
  <c r="S68" i="1"/>
  <c r="L68" i="1"/>
  <c r="P68" i="1"/>
  <c r="O68" i="1"/>
  <c r="K68" i="1"/>
  <c r="K69" i="1" s="1"/>
  <c r="AU68" i="1"/>
  <c r="AR68" i="1"/>
  <c r="AD68" i="1"/>
  <c r="AE68" i="1"/>
  <c r="L69" i="1" l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</calcChain>
</file>

<file path=xl/sharedStrings.xml><?xml version="1.0" encoding="utf-8"?>
<sst xmlns="http://schemas.openxmlformats.org/spreadsheetml/2006/main" count="109" uniqueCount="78">
  <si>
    <t>UNIVERSITAS MUHAMMADIYAH YOGYAKARTA</t>
  </si>
  <si>
    <t>NO</t>
  </si>
  <si>
    <t>ITEM PEKERJAAN</t>
  </si>
  <si>
    <t>VOL</t>
  </si>
  <si>
    <t>SATUAN</t>
  </si>
  <si>
    <t>HARGA (Rp.)</t>
  </si>
  <si>
    <t>BOBOT</t>
  </si>
  <si>
    <t>MINGGU KE-</t>
  </si>
  <si>
    <t>JUMLAH</t>
  </si>
  <si>
    <t>%</t>
  </si>
  <si>
    <t>DIV.1</t>
  </si>
  <si>
    <t>UMUM</t>
  </si>
  <si>
    <t>Mobilisasi</t>
  </si>
  <si>
    <t>ls</t>
  </si>
  <si>
    <t>Manajemen dan Keselamatan Lalu Lintas</t>
  </si>
  <si>
    <t>Manajemen Mutu</t>
  </si>
  <si>
    <t>Pengeboran, termasuk SPT dan Laporan</t>
  </si>
  <si>
    <t>m'</t>
  </si>
  <si>
    <t>Sondir termasuk Laporan</t>
  </si>
  <si>
    <t>DIV.2</t>
  </si>
  <si>
    <t>PEKERJAAN DRAINASE</t>
  </si>
  <si>
    <t>Galian untuk drainase selokan dan saluran air</t>
  </si>
  <si>
    <t>m3</t>
  </si>
  <si>
    <t>Pasangan batu dengan mortar</t>
  </si>
  <si>
    <t>Gorong-gorong pipa beton bertulang, diamter dalam 75 - 85 cm</t>
  </si>
  <si>
    <t>Beton K250 (f'c 20) untuk Drainase</t>
  </si>
  <si>
    <t>DIV.3</t>
  </si>
  <si>
    <t>PEKERJAAN TANAH</t>
  </si>
  <si>
    <t>Galian Biasa</t>
  </si>
  <si>
    <t>Galian Struktur dengan kedalaman 0 - 2 m</t>
  </si>
  <si>
    <t>Galian Struktur dengan kedalaman 2 - 4 m</t>
  </si>
  <si>
    <t>Timbunan Biasa</t>
  </si>
  <si>
    <t>Timbunan Pilihan</t>
  </si>
  <si>
    <t>Penyiapan Badan Jalan</t>
  </si>
  <si>
    <t>m2</t>
  </si>
  <si>
    <t>DIV.4</t>
  </si>
  <si>
    <t>PELEBARAN PERKERASAN DAN BAHU JALAN</t>
  </si>
  <si>
    <t>Lapis Pondasi Agregat Kelas A</t>
  </si>
  <si>
    <t>Lapis Pondasi Agregat Kelas S Bahu Jalan</t>
  </si>
  <si>
    <t>DIV.5</t>
  </si>
  <si>
    <t>PERKERASAN BERBUTIR</t>
  </si>
  <si>
    <t>Lapis Pondasi Agregat Kelas B</t>
  </si>
  <si>
    <t>DIV.6</t>
  </si>
  <si>
    <t>PERKERASAN ASPAL</t>
  </si>
  <si>
    <t>Lapis Resap Pengikat - Aspal Cair</t>
  </si>
  <si>
    <t>liter</t>
  </si>
  <si>
    <t>Lapis Perekat - Aspal Cair</t>
  </si>
  <si>
    <t>Laston Lapis Pondasi (AC-Base)</t>
  </si>
  <si>
    <t>ton</t>
  </si>
  <si>
    <t>Laston Lapis Antara (AC-BC)</t>
  </si>
  <si>
    <t>Laston Lapis Aus (AC-WC)</t>
  </si>
  <si>
    <t>DIV.7</t>
  </si>
  <si>
    <t>STRUKTUR</t>
  </si>
  <si>
    <t>Pekerjaan Beton Talud</t>
  </si>
  <si>
    <t>Baja Tulangan</t>
  </si>
  <si>
    <t>kg</t>
  </si>
  <si>
    <t>Beton f'c 20 MPa</t>
  </si>
  <si>
    <t>Pasangan Batu</t>
  </si>
  <si>
    <t>DIV.8</t>
  </si>
  <si>
    <t>PENGEMBALIAN KONDISI DAN PEKERJAAN MINOR</t>
  </si>
  <si>
    <t>Marka Jalan Termoplastik</t>
  </si>
  <si>
    <t>Residu Bitumen untuk Pekerjaan Minor</t>
  </si>
  <si>
    <t>Rambu Jalan Tunggal dengan Permukaan Pemantul Engineer Grade</t>
  </si>
  <si>
    <t>buah</t>
  </si>
  <si>
    <t>Patok Pengarah</t>
  </si>
  <si>
    <t>Patok Kilometer</t>
  </si>
  <si>
    <t>Kerb Pracetak Jenis 1 (Peninggi/Mountable)</t>
  </si>
  <si>
    <t>Unit Lampu Penerangan Jalan Lengan Ganda Tipe Merkuri 250 watt</t>
  </si>
  <si>
    <t>DIV.9</t>
  </si>
  <si>
    <t>PEKERJAAN PEMELIHARAAN RUTIN</t>
  </si>
  <si>
    <t>Pemeliharaan Rutin Bahu Jalan</t>
  </si>
  <si>
    <t>Pemeliharaan Rutin Saluran Air</t>
  </si>
  <si>
    <t>Pemeliharaan Rutin Perlengkapan Jalan</t>
  </si>
  <si>
    <t>TOTAL</t>
  </si>
  <si>
    <t>Rencana</t>
  </si>
  <si>
    <t>Kumulatif</t>
  </si>
  <si>
    <t>PEKERJAAN JALAN FLEXIBLE PAVEMENT</t>
  </si>
  <si>
    <t>SOAL MANAJEMEN KONSTRUKSI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</si>
</sst>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"/>
    <numFmt numFmtId="166" formatCode="0.00000"/>
    <numFmt numFmtId="167" formatCode="0.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u/>
      <sz val="12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8" fillId="0" borderId="0"/>
    <xf numFmtId="164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/>
    <xf numFmtId="0" fontId="2" fillId="0" borderId="0" xfId="1" applyFont="1" applyBorder="1"/>
    <xf numFmtId="0" fontId="2" fillId="0" borderId="0" xfId="1" applyFont="1"/>
    <xf numFmtId="164" fontId="5" fillId="2" borderId="0" xfId="2" applyNumberFormat="1" applyFont="1" applyFill="1" applyBorder="1" applyAlignment="1" applyProtection="1">
      <alignment vertical="center"/>
    </xf>
    <xf numFmtId="1" fontId="6" fillId="2" borderId="0" xfId="2" applyNumberFormat="1" applyFont="1" applyFill="1" applyAlignment="1">
      <alignment horizontal="right" vertical="center"/>
    </xf>
    <xf numFmtId="164" fontId="3" fillId="2" borderId="0" xfId="2" applyNumberFormat="1" applyFont="1" applyFill="1" applyAlignment="1">
      <alignment vertical="center"/>
    </xf>
    <xf numFmtId="0" fontId="7" fillId="2" borderId="0" xfId="2" applyFont="1" applyFill="1" applyAlignment="1">
      <alignment vertical="center"/>
    </xf>
    <xf numFmtId="164" fontId="7" fillId="2" borderId="0" xfId="2" applyNumberFormat="1" applyFont="1" applyFill="1" applyAlignment="1">
      <alignment vertical="center"/>
    </xf>
    <xf numFmtId="164" fontId="6" fillId="2" borderId="0" xfId="2" applyNumberFormat="1" applyFont="1" applyFill="1" applyAlignment="1">
      <alignment vertical="center"/>
    </xf>
    <xf numFmtId="164" fontId="5" fillId="2" borderId="0" xfId="2" applyNumberFormat="1" applyFont="1" applyFill="1" applyBorder="1" applyAlignment="1" applyProtection="1">
      <alignment horizontal="center" vertical="center"/>
    </xf>
    <xf numFmtId="164" fontId="3" fillId="2" borderId="0" xfId="2" applyNumberFormat="1" applyFont="1" applyFill="1" applyAlignment="1">
      <alignment horizontal="left" vertical="center"/>
    </xf>
    <xf numFmtId="0" fontId="7" fillId="2" borderId="0" xfId="2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left" vertical="center"/>
    </xf>
    <xf numFmtId="164" fontId="6" fillId="2" borderId="0" xfId="2" applyNumberFormat="1" applyFont="1" applyFill="1" applyAlignment="1">
      <alignment horizontal="center" vertical="center"/>
    </xf>
    <xf numFmtId="165" fontId="2" fillId="0" borderId="0" xfId="1" applyNumberFormat="1" applyFont="1"/>
    <xf numFmtId="0" fontId="6" fillId="2" borderId="0" xfId="2" applyFont="1" applyFill="1" applyAlignment="1">
      <alignment vertical="center"/>
    </xf>
    <xf numFmtId="0" fontId="2" fillId="0" borderId="0" xfId="0" applyFont="1" applyAlignment="1">
      <alignment horizontal="center"/>
    </xf>
    <xf numFmtId="164" fontId="9" fillId="2" borderId="1" xfId="4" applyFont="1" applyFill="1" applyBorder="1" applyAlignment="1">
      <alignment horizontal="center" vertical="center"/>
    </xf>
    <xf numFmtId="164" fontId="9" fillId="2" borderId="3" xfId="4" applyFont="1" applyFill="1" applyBorder="1" applyAlignment="1">
      <alignment vertical="center"/>
    </xf>
    <xf numFmtId="0" fontId="2" fillId="3" borderId="1" xfId="1" applyFont="1" applyFill="1" applyBorder="1"/>
    <xf numFmtId="9" fontId="3" fillId="3" borderId="1" xfId="5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164" fontId="9" fillId="2" borderId="4" xfId="4" applyFont="1" applyFill="1" applyBorder="1" applyAlignment="1">
      <alignment horizontal="center" vertical="center"/>
    </xf>
    <xf numFmtId="164" fontId="9" fillId="2" borderId="6" xfId="4" applyFont="1" applyFill="1" applyBorder="1" applyAlignment="1">
      <alignment horizontal="center" vertical="top" wrapText="1"/>
    </xf>
    <xf numFmtId="16" fontId="2" fillId="0" borderId="1" xfId="1" applyNumberFormat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2" fillId="0" borderId="3" xfId="1" applyFont="1" applyBorder="1"/>
    <xf numFmtId="10" fontId="2" fillId="3" borderId="1" xfId="5" applyNumberFormat="1" applyFont="1" applyFill="1" applyBorder="1"/>
    <xf numFmtId="2" fontId="2" fillId="0" borderId="1" xfId="0" applyNumberFormat="1" applyFont="1" applyBorder="1" applyAlignment="1"/>
    <xf numFmtId="0" fontId="2" fillId="0" borderId="1" xfId="0" applyFont="1" applyBorder="1" applyAlignment="1"/>
    <xf numFmtId="0" fontId="10" fillId="4" borderId="1" xfId="1" applyFont="1" applyFill="1" applyBorder="1"/>
    <xf numFmtId="0" fontId="2" fillId="4" borderId="1" xfId="1" applyFont="1" applyFill="1" applyBorder="1" applyAlignment="1">
      <alignment horizontal="center"/>
    </xf>
    <xf numFmtId="0" fontId="2" fillId="4" borderId="3" xfId="1" applyFont="1" applyFill="1" applyBorder="1"/>
    <xf numFmtId="0" fontId="2" fillId="4" borderId="1" xfId="1" applyFont="1" applyFill="1" applyBorder="1"/>
    <xf numFmtId="164" fontId="3" fillId="4" borderId="1" xfId="1" applyNumberFormat="1" applyFont="1" applyFill="1" applyBorder="1" applyAlignment="1" applyProtection="1">
      <alignment vertical="center"/>
    </xf>
    <xf numFmtId="165" fontId="2" fillId="3" borderId="1" xfId="5" applyNumberFormat="1" applyFont="1" applyFill="1" applyBorder="1"/>
    <xf numFmtId="166" fontId="2" fillId="0" borderId="1" xfId="1" applyNumberFormat="1" applyFont="1" applyFill="1" applyBorder="1"/>
    <xf numFmtId="0" fontId="2" fillId="0" borderId="1" xfId="1" applyFont="1" applyFill="1" applyBorder="1"/>
    <xf numFmtId="164" fontId="3" fillId="0" borderId="1" xfId="4" applyFont="1" applyFill="1" applyBorder="1" applyAlignment="1" applyProtection="1">
      <alignment horizontal="center" vertical="center"/>
    </xf>
    <xf numFmtId="0" fontId="2" fillId="0" borderId="3" xfId="1" applyFont="1" applyBorder="1" applyAlignment="1">
      <alignment horizontal="center"/>
    </xf>
    <xf numFmtId="164" fontId="3" fillId="0" borderId="1" xfId="4" applyFont="1" applyFill="1" applyBorder="1" applyAlignment="1" applyProtection="1">
      <alignment vertical="center"/>
    </xf>
    <xf numFmtId="164" fontId="3" fillId="0" borderId="1" xfId="1" applyNumberFormat="1" applyFont="1" applyFill="1" applyBorder="1" applyAlignment="1" applyProtection="1">
      <alignment vertical="center"/>
    </xf>
    <xf numFmtId="166" fontId="2" fillId="5" borderId="1" xfId="1" applyNumberFormat="1" applyFont="1" applyFill="1" applyBorder="1"/>
    <xf numFmtId="166" fontId="2" fillId="0" borderId="0" xfId="0" applyNumberFormat="1" applyFont="1" applyAlignment="1"/>
    <xf numFmtId="166" fontId="2" fillId="5" borderId="8" xfId="1" applyNumberFormat="1" applyFont="1" applyFill="1" applyBorder="1"/>
    <xf numFmtId="1" fontId="3" fillId="2" borderId="1" xfId="1" applyNumberFormat="1" applyFont="1" applyFill="1" applyBorder="1" applyAlignment="1" applyProtection="1">
      <alignment horizontal="right" vertical="center"/>
    </xf>
    <xf numFmtId="0" fontId="3" fillId="2" borderId="3" xfId="1" applyNumberFormat="1" applyFont="1" applyFill="1" applyBorder="1" applyAlignment="1" applyProtection="1">
      <alignment horizontal="center" vertical="center"/>
    </xf>
    <xf numFmtId="0" fontId="2" fillId="5" borderId="1" xfId="1" applyFont="1" applyFill="1" applyBorder="1"/>
    <xf numFmtId="0" fontId="11" fillId="4" borderId="1" xfId="1" applyNumberFormat="1" applyFont="1" applyFill="1" applyBorder="1" applyAlignment="1" applyProtection="1">
      <alignment vertical="center"/>
    </xf>
    <xf numFmtId="0" fontId="3" fillId="4" borderId="3" xfId="1" applyNumberFormat="1" applyFont="1" applyFill="1" applyBorder="1" applyAlignment="1" applyProtection="1">
      <alignment vertical="center"/>
    </xf>
    <xf numFmtId="164" fontId="3" fillId="4" borderId="1" xfId="4" applyFont="1" applyFill="1" applyBorder="1" applyAlignment="1" applyProtection="1">
      <alignment vertical="center"/>
    </xf>
    <xf numFmtId="0" fontId="3" fillId="0" borderId="1" xfId="1" applyNumberFormat="1" applyFont="1" applyFill="1" applyBorder="1" applyAlignment="1" applyProtection="1">
      <alignment vertical="center"/>
    </xf>
    <xf numFmtId="0" fontId="3" fillId="0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/>
    <xf numFmtId="165" fontId="2" fillId="0" borderId="1" xfId="1" applyNumberFormat="1" applyFont="1" applyFill="1" applyBorder="1"/>
    <xf numFmtId="165" fontId="2" fillId="5" borderId="1" xfId="1" applyNumberFormat="1" applyFont="1" applyFill="1" applyBorder="1"/>
    <xf numFmtId="167" fontId="2" fillId="0" borderId="1" xfId="1" applyNumberFormat="1" applyFont="1" applyBorder="1"/>
    <xf numFmtId="0" fontId="2" fillId="5" borderId="1" xfId="0" applyFont="1" applyFill="1" applyBorder="1"/>
    <xf numFmtId="167" fontId="2" fillId="0" borderId="1" xfId="1" applyNumberFormat="1" applyFont="1" applyFill="1" applyBorder="1"/>
    <xf numFmtId="164" fontId="12" fillId="0" borderId="1" xfId="4" applyFont="1" applyFill="1" applyBorder="1" applyAlignment="1" applyProtection="1">
      <alignment vertical="center"/>
    </xf>
    <xf numFmtId="0" fontId="3" fillId="4" borderId="3" xfId="1" applyNumberFormat="1" applyFont="1" applyFill="1" applyBorder="1" applyAlignment="1" applyProtection="1">
      <alignment horizontal="center" vertical="center"/>
    </xf>
    <xf numFmtId="165" fontId="2" fillId="0" borderId="1" xfId="1" applyNumberFormat="1" applyFont="1" applyBorder="1"/>
    <xf numFmtId="0" fontId="2" fillId="5" borderId="1" xfId="0" applyFont="1" applyFill="1" applyBorder="1" applyAlignment="1"/>
    <xf numFmtId="0" fontId="11" fillId="4" borderId="1" xfId="1" applyNumberFormat="1" applyFont="1" applyFill="1" applyBorder="1" applyAlignment="1" applyProtection="1">
      <alignment horizontal="left" vertical="center"/>
    </xf>
    <xf numFmtId="0" fontId="11" fillId="4" borderId="5" xfId="1" applyNumberFormat="1" applyFont="1" applyFill="1" applyBorder="1" applyAlignment="1" applyProtection="1">
      <alignment horizontal="left" vertical="center"/>
    </xf>
    <xf numFmtId="0" fontId="3" fillId="0" borderId="1" xfId="1" applyNumberFormat="1" applyFont="1" applyFill="1" applyBorder="1" applyAlignment="1" applyProtection="1">
      <alignment horizontal="left" vertical="center"/>
    </xf>
    <xf numFmtId="0" fontId="3" fillId="0" borderId="5" xfId="1" applyNumberFormat="1" applyFont="1" applyFill="1" applyBorder="1" applyAlignment="1" applyProtection="1">
      <alignment horizontal="left" vertical="center"/>
    </xf>
    <xf numFmtId="164" fontId="2" fillId="0" borderId="1" xfId="4" applyFont="1" applyFill="1" applyBorder="1" applyAlignment="1" applyProtection="1">
      <alignment vertical="center"/>
    </xf>
    <xf numFmtId="0" fontId="2" fillId="0" borderId="1" xfId="0" applyFont="1" applyBorder="1"/>
    <xf numFmtId="164" fontId="2" fillId="4" borderId="1" xfId="4" applyFont="1" applyFill="1" applyBorder="1" applyAlignment="1" applyProtection="1">
      <alignment vertical="center"/>
    </xf>
    <xf numFmtId="0" fontId="11" fillId="0" borderId="1" xfId="1" applyNumberFormat="1" applyFont="1" applyFill="1" applyBorder="1" applyAlignment="1" applyProtection="1">
      <alignment vertical="center"/>
    </xf>
    <xf numFmtId="0" fontId="11" fillId="4" borderId="7" xfId="1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/>
    <xf numFmtId="164" fontId="3" fillId="0" borderId="2" xfId="4" applyFont="1" applyFill="1" applyBorder="1" applyAlignment="1" applyProtection="1">
      <alignment vertical="center"/>
    </xf>
    <xf numFmtId="0" fontId="3" fillId="0" borderId="9" xfId="1" applyNumberFormat="1" applyFont="1" applyFill="1" applyBorder="1" applyAlignment="1" applyProtection="1">
      <alignment vertical="center"/>
    </xf>
    <xf numFmtId="0" fontId="11" fillId="4" borderId="10" xfId="1" applyNumberFormat="1" applyFont="1" applyFill="1" applyBorder="1" applyAlignment="1" applyProtection="1">
      <alignment horizontal="left" vertical="center"/>
    </xf>
    <xf numFmtId="0" fontId="3" fillId="4" borderId="10" xfId="1" applyNumberFormat="1" applyFont="1" applyFill="1" applyBorder="1" applyAlignment="1" applyProtection="1">
      <alignment horizontal="left" vertical="center"/>
    </xf>
    <xf numFmtId="164" fontId="3" fillId="4" borderId="2" xfId="4" applyFont="1" applyFill="1" applyBorder="1" applyAlignment="1" applyProtection="1">
      <alignment vertical="center"/>
    </xf>
    <xf numFmtId="0" fontId="3" fillId="0" borderId="10" xfId="1" applyNumberFormat="1" applyFont="1" applyFill="1" applyBorder="1" applyAlignment="1" applyProtection="1">
      <alignment horizontal="left" vertical="center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2" fillId="0" borderId="1" xfId="1" applyFont="1" applyBorder="1" applyAlignment="1"/>
    <xf numFmtId="165" fontId="2" fillId="0" borderId="1" xfId="1" applyNumberFormat="1" applyFont="1" applyBorder="1" applyProtection="1">
      <protection locked="0"/>
    </xf>
    <xf numFmtId="164" fontId="3" fillId="0" borderId="0" xfId="2" applyNumberFormat="1" applyFont="1" applyAlignment="1">
      <alignment horizontal="center" vertical="center"/>
    </xf>
    <xf numFmtId="0" fontId="2" fillId="0" borderId="5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164" fontId="3" fillId="2" borderId="0" xfId="2" applyNumberFormat="1" applyFont="1" applyFill="1" applyAlignment="1">
      <alignment horizontal="left" vertical="center"/>
    </xf>
    <xf numFmtId="0" fontId="9" fillId="2" borderId="1" xfId="3" applyFont="1" applyFill="1" applyBorder="1" applyAlignment="1">
      <alignment horizontal="center" vertical="center"/>
    </xf>
    <xf numFmtId="164" fontId="9" fillId="2" borderId="2" xfId="4" applyFont="1" applyFill="1" applyBorder="1" applyAlignment="1">
      <alignment horizontal="center" vertical="center"/>
    </xf>
    <xf numFmtId="164" fontId="9" fillId="2" borderId="4" xfId="4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10" fillId="4" borderId="1" xfId="1" applyFont="1" applyFill="1" applyBorder="1" applyAlignment="1">
      <alignment horizontal="left"/>
    </xf>
    <xf numFmtId="0" fontId="10" fillId="4" borderId="5" xfId="1" applyFont="1" applyFill="1" applyBorder="1" applyAlignment="1">
      <alignment horizontal="left"/>
    </xf>
    <xf numFmtId="164" fontId="9" fillId="2" borderId="2" xfId="4" applyFont="1" applyFill="1" applyBorder="1" applyAlignment="1">
      <alignment horizontal="center" vertical="center" wrapText="1"/>
    </xf>
    <xf numFmtId="164" fontId="9" fillId="2" borderId="4" xfId="4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 applyProtection="1">
      <alignment horizontal="left" vertical="center"/>
    </xf>
    <xf numFmtId="0" fontId="3" fillId="0" borderId="5" xfId="1" applyNumberFormat="1" applyFont="1" applyFill="1" applyBorder="1" applyAlignment="1" applyProtection="1">
      <alignment horizontal="left" vertical="center"/>
    </xf>
    <xf numFmtId="0" fontId="11" fillId="4" borderId="1" xfId="1" applyNumberFormat="1" applyFont="1" applyFill="1" applyBorder="1" applyAlignment="1" applyProtection="1">
      <alignment horizontal="left" vertical="center"/>
    </xf>
    <xf numFmtId="0" fontId="11" fillId="4" borderId="5" xfId="1" applyNumberFormat="1" applyFont="1" applyFill="1" applyBorder="1" applyAlignment="1" applyProtection="1">
      <alignment horizontal="left" vertical="center"/>
    </xf>
    <xf numFmtId="0" fontId="3" fillId="0" borderId="7" xfId="1" applyNumberFormat="1" applyFont="1" applyFill="1" applyBorder="1" applyAlignment="1" applyProtection="1">
      <alignment horizontal="left" vertical="center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5" xfId="1" applyNumberFormat="1" applyFont="1" applyFill="1" applyBorder="1" applyAlignment="1" applyProtection="1">
      <alignment horizontal="center" vertical="center"/>
    </xf>
    <xf numFmtId="0" fontId="11" fillId="4" borderId="7" xfId="1" applyNumberFormat="1" applyFont="1" applyFill="1" applyBorder="1" applyAlignment="1" applyProtection="1">
      <alignment horizontal="left" vertical="center"/>
    </xf>
    <xf numFmtId="0" fontId="11" fillId="0" borderId="1" xfId="1" applyNumberFormat="1" applyFont="1" applyFill="1" applyBorder="1" applyAlignment="1" applyProtection="1">
      <alignment horizontal="left" vertical="center"/>
    </xf>
    <xf numFmtId="0" fontId="11" fillId="0" borderId="5" xfId="1" applyNumberFormat="1" applyFont="1" applyFill="1" applyBorder="1" applyAlignment="1" applyProtection="1">
      <alignment horizontal="left" vertical="center"/>
    </xf>
    <xf numFmtId="0" fontId="11" fillId="0" borderId="5" xfId="1" applyNumberFormat="1" applyFont="1" applyFill="1" applyBorder="1" applyAlignment="1" applyProtection="1">
      <alignment horizontal="center" vertical="center"/>
    </xf>
    <xf numFmtId="0" fontId="11" fillId="0" borderId="7" xfId="1" applyNumberFormat="1" applyFont="1" applyFill="1" applyBorder="1" applyAlignment="1" applyProtection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2" fontId="2" fillId="3" borderId="1" xfId="5" applyNumberFormat="1" applyFont="1" applyFill="1" applyBorder="1" applyAlignment="1">
      <alignment horizontal="center" vertical="center"/>
    </xf>
  </cellXfs>
  <cellStyles count="6">
    <cellStyle name="Comma 2" xfId="4" xr:uid="{00000000-0005-0000-0000-000000000000}"/>
    <cellStyle name="Normal" xfId="0" builtinId="0"/>
    <cellStyle name="Normal 2 2" xfId="3" xr:uid="{00000000-0005-0000-0000-000002000000}"/>
    <cellStyle name="Normal 3" xfId="1" xr:uid="{00000000-0005-0000-0000-000003000000}"/>
    <cellStyle name="Normal_RAB Fondasi" xfId="2" xr:uid="{00000000-0005-0000-0000-000004000000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784938115000784E-4"/>
          <c:y val="1.1894079341235214E-2"/>
          <c:w val="0.99887101481094964"/>
          <c:h val="0.987666788479781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'[2]Kurva S remake'!$J$79:$BC$79</c:f>
              <c:numCache>
                <c:formatCode>General</c:formatCode>
                <c:ptCount val="46"/>
                <c:pt idx="0">
                  <c:v>0.13655054877137024</c:v>
                </c:pt>
                <c:pt idx="1">
                  <c:v>0.35468041084174373</c:v>
                </c:pt>
                <c:pt idx="2">
                  <c:v>0.78987860187203374</c:v>
                </c:pt>
                <c:pt idx="3">
                  <c:v>1.2026400697308186</c:v>
                </c:pt>
                <c:pt idx="4">
                  <c:v>1.6160644691159132</c:v>
                </c:pt>
                <c:pt idx="5">
                  <c:v>1.9703462783735097</c:v>
                </c:pt>
                <c:pt idx="6">
                  <c:v>2.3181301308354625</c:v>
                </c:pt>
                <c:pt idx="7">
                  <c:v>2.6659139832974152</c:v>
                </c:pt>
                <c:pt idx="8">
                  <c:v>3.228831148550305</c:v>
                </c:pt>
                <c:pt idx="9">
                  <c:v>3.7917483138031951</c:v>
                </c:pt>
                <c:pt idx="10">
                  <c:v>4.6942627634740361</c:v>
                </c:pt>
                <c:pt idx="11">
                  <c:v>5.5967772131448772</c:v>
                </c:pt>
                <c:pt idx="12">
                  <c:v>7.5186543313522893</c:v>
                </c:pt>
                <c:pt idx="13">
                  <c:v>9.4405314495597015</c:v>
                </c:pt>
                <c:pt idx="14">
                  <c:v>12.412860023824322</c:v>
                </c:pt>
                <c:pt idx="15">
                  <c:v>15.385188598088943</c:v>
                </c:pt>
                <c:pt idx="16">
                  <c:v>18.363081910868441</c:v>
                </c:pt>
                <c:pt idx="17">
                  <c:v>21.340975223647941</c:v>
                </c:pt>
                <c:pt idx="18">
                  <c:v>24.625319948970397</c:v>
                </c:pt>
                <c:pt idx="19">
                  <c:v>27.909664674292852</c:v>
                </c:pt>
                <c:pt idx="20">
                  <c:v>31.194009399615307</c:v>
                </c:pt>
                <c:pt idx="21">
                  <c:v>34.478354124937766</c:v>
                </c:pt>
                <c:pt idx="22">
                  <c:v>39.156916334863624</c:v>
                </c:pt>
                <c:pt idx="23">
                  <c:v>43.835478544789481</c:v>
                </c:pt>
                <c:pt idx="24">
                  <c:v>48.361918147188966</c:v>
                </c:pt>
                <c:pt idx="25">
                  <c:v>52.888357749588451</c:v>
                </c:pt>
                <c:pt idx="26">
                  <c:v>57.379663695673798</c:v>
                </c:pt>
                <c:pt idx="27">
                  <c:v>61.870969641759146</c:v>
                </c:pt>
                <c:pt idx="28">
                  <c:v>66.725267633993852</c:v>
                </c:pt>
                <c:pt idx="29">
                  <c:v>71.579565626228558</c:v>
                </c:pt>
                <c:pt idx="30">
                  <c:v>76.509893495144823</c:v>
                </c:pt>
                <c:pt idx="31">
                  <c:v>81.440221364061088</c:v>
                </c:pt>
                <c:pt idx="32">
                  <c:v>85.581694846998658</c:v>
                </c:pt>
                <c:pt idx="33">
                  <c:v>89.723168329936229</c:v>
                </c:pt>
                <c:pt idx="34">
                  <c:v>90.864092616520168</c:v>
                </c:pt>
                <c:pt idx="35">
                  <c:v>92.005016903104107</c:v>
                </c:pt>
                <c:pt idx="36">
                  <c:v>93.155332048717</c:v>
                </c:pt>
                <c:pt idx="37">
                  <c:v>94.305647194329893</c:v>
                </c:pt>
                <c:pt idx="38">
                  <c:v>95.301083577458002</c:v>
                </c:pt>
                <c:pt idx="39">
                  <c:v>96.29651996058611</c:v>
                </c:pt>
                <c:pt idx="40">
                  <c:v>97.737207591146358</c:v>
                </c:pt>
                <c:pt idx="41">
                  <c:v>99.177895221706606</c:v>
                </c:pt>
                <c:pt idx="42">
                  <c:v>99.449748640918514</c:v>
                </c:pt>
                <c:pt idx="43">
                  <c:v>99.721602060130422</c:v>
                </c:pt>
                <c:pt idx="44">
                  <c:v>99.860801030065218</c:v>
                </c:pt>
                <c:pt idx="45">
                  <c:v>100.00000000000001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C-4A41-8B9E-D602EB5BB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25760"/>
        <c:axId val="356322624"/>
      </c:scatterChart>
      <c:valAx>
        <c:axId val="356325760"/>
        <c:scaling>
          <c:orientation val="minMax"/>
        </c:scaling>
        <c:delete val="1"/>
        <c:axPos val="b"/>
        <c:numFmt formatCode="0.0000" sourceLinked="1"/>
        <c:majorTickMark val="none"/>
        <c:minorTickMark val="none"/>
        <c:tickLblPos val="none"/>
        <c:crossAx val="356322624"/>
        <c:crosses val="autoZero"/>
        <c:crossBetween val="midCat"/>
      </c:valAx>
      <c:valAx>
        <c:axId val="356322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35632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61</xdr:col>
      <xdr:colOff>182562</xdr:colOff>
      <xdr:row>65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knik%20Sipil\Asisten\Manajemen%20Konstruksi\CONTOH%20AHSP\AHS%20SPEC%20Edisi%20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knik%20Sipil\Asisten\Manajemen%20Konstruksi\Soal%20Praktikum\Kurva%20S%20F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>
        <row r="26">
          <cell r="H26">
            <v>2024009788.1480312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">
          <cell r="G7" t="str">
            <v>: ………………………………………………</v>
          </cell>
        </row>
      </sheetData>
      <sheetData sheetId="10" refreshError="1"/>
      <sheetData sheetId="11">
        <row r="8">
          <cell r="D8" t="str">
            <v>(L01)</v>
          </cell>
          <cell r="E8" t="str">
            <v>Jam</v>
          </cell>
          <cell r="F8">
            <v>4657.3142857142857</v>
          </cell>
        </row>
        <row r="9">
          <cell r="D9" t="str">
            <v>(L02)</v>
          </cell>
          <cell r="E9" t="str">
            <v>Jam</v>
          </cell>
          <cell r="F9">
            <v>6088.5714285714284</v>
          </cell>
        </row>
        <row r="10">
          <cell r="D10" t="str">
            <v>(L03)</v>
          </cell>
          <cell r="E10" t="str">
            <v>Jam</v>
          </cell>
          <cell r="F10">
            <v>7281.2857142857147</v>
          </cell>
        </row>
        <row r="11">
          <cell r="D11" t="str">
            <v>(L04)</v>
          </cell>
          <cell r="E11" t="str">
            <v>Jam</v>
          </cell>
          <cell r="F11">
            <v>4179.2857142857138</v>
          </cell>
        </row>
        <row r="12">
          <cell r="D12" t="str">
            <v>(L05)</v>
          </cell>
          <cell r="E12" t="str">
            <v>Jam</v>
          </cell>
          <cell r="F12">
            <v>3707.8571428571427</v>
          </cell>
        </row>
        <row r="13">
          <cell r="D13" t="str">
            <v>(L06)</v>
          </cell>
          <cell r="E13" t="str">
            <v>Jam</v>
          </cell>
          <cell r="F13">
            <v>6725</v>
          </cell>
        </row>
        <row r="14">
          <cell r="D14" t="str">
            <v>(L07)</v>
          </cell>
          <cell r="E14" t="str">
            <v>Jam</v>
          </cell>
          <cell r="F14">
            <v>4462.1428571428569</v>
          </cell>
        </row>
        <row r="15">
          <cell r="D15" t="str">
            <v>(L08)</v>
          </cell>
          <cell r="E15" t="str">
            <v>Jam</v>
          </cell>
          <cell r="F15">
            <v>4053.5714285714284</v>
          </cell>
        </row>
        <row r="16">
          <cell r="D16" t="str">
            <v>(L09)</v>
          </cell>
          <cell r="E16" t="str">
            <v>Jam</v>
          </cell>
          <cell r="F16">
            <v>2982.1428571428573</v>
          </cell>
        </row>
        <row r="17">
          <cell r="D17" t="str">
            <v>(L10)</v>
          </cell>
          <cell r="E17" t="str">
            <v>Jam</v>
          </cell>
          <cell r="F17">
            <v>5125</v>
          </cell>
        </row>
        <row r="90">
          <cell r="F90">
            <v>1071651.0158043983</v>
          </cell>
        </row>
      </sheetData>
      <sheetData sheetId="12" refreshError="1"/>
      <sheetData sheetId="13" refreshError="1"/>
      <sheetData sheetId="14">
        <row r="8">
          <cell r="AR8" t="str">
            <v>E01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5">
          <cell r="E35">
            <v>1</v>
          </cell>
        </row>
      </sheetData>
      <sheetData sheetId="21" refreshError="1"/>
      <sheetData sheetId="22">
        <row r="56">
          <cell r="L56" t="str">
            <v>Note: 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RVA S 2"/>
      <sheetName val="RAB"/>
      <sheetName val="Uraian-analisa"/>
      <sheetName val="MOBILISASI"/>
      <sheetName val="ANALISA-harsat (8)"/>
      <sheetName val="Agr- Ksr &amp;Hls (7)"/>
      <sheetName val="Daftar HDSB (6)"/>
      <sheetName val=" analisa materal (5)"/>
      <sheetName val="SEWA ALAT (4)"/>
      <sheetName val="Analisa-alat (3)"/>
      <sheetName val="JRAK-BHN (2)"/>
      <sheetName val="Daftar HDSU (1)"/>
      <sheetName val="Sheet1"/>
      <sheetName val="volume"/>
      <sheetName val="responsi"/>
      <sheetName val="Kurva S remake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9">
          <cell r="J79">
            <v>0.13655054877137024</v>
          </cell>
          <cell r="K79">
            <v>0.35468041084174373</v>
          </cell>
          <cell r="L79">
            <v>0.78987860187203374</v>
          </cell>
          <cell r="M79">
            <v>1.2026400697308186</v>
          </cell>
          <cell r="N79">
            <v>1.6160644691159132</v>
          </cell>
          <cell r="O79">
            <v>1.9703462783735097</v>
          </cell>
          <cell r="P79">
            <v>2.3181301308354625</v>
          </cell>
          <cell r="Q79">
            <v>2.6659139832974152</v>
          </cell>
          <cell r="R79">
            <v>3.228831148550305</v>
          </cell>
          <cell r="S79">
            <v>3.7917483138031951</v>
          </cell>
          <cell r="T79">
            <v>4.6942627634740361</v>
          </cell>
          <cell r="U79">
            <v>5.5967772131448772</v>
          </cell>
          <cell r="V79">
            <v>7.5186543313522893</v>
          </cell>
          <cell r="W79">
            <v>9.4405314495597015</v>
          </cell>
          <cell r="X79">
            <v>12.412860023824322</v>
          </cell>
          <cell r="Y79">
            <v>15.385188598088943</v>
          </cell>
          <cell r="Z79">
            <v>18.363081910868441</v>
          </cell>
          <cell r="AA79">
            <v>21.340975223647941</v>
          </cell>
          <cell r="AB79">
            <v>24.625319948970397</v>
          </cell>
          <cell r="AC79">
            <v>27.909664674292852</v>
          </cell>
          <cell r="AD79">
            <v>31.194009399615307</v>
          </cell>
          <cell r="AE79">
            <v>34.478354124937766</v>
          </cell>
          <cell r="AF79">
            <v>39.156916334863624</v>
          </cell>
          <cell r="AG79">
            <v>43.835478544789481</v>
          </cell>
          <cell r="AH79">
            <v>48.361918147188966</v>
          </cell>
          <cell r="AI79">
            <v>52.888357749588451</v>
          </cell>
          <cell r="AJ79">
            <v>57.379663695673798</v>
          </cell>
          <cell r="AK79">
            <v>61.870969641759146</v>
          </cell>
          <cell r="AL79">
            <v>66.725267633993852</v>
          </cell>
          <cell r="AM79">
            <v>71.579565626228558</v>
          </cell>
          <cell r="AN79">
            <v>76.509893495144823</v>
          </cell>
          <cell r="AO79">
            <v>81.440221364061088</v>
          </cell>
          <cell r="AP79">
            <v>85.581694846998658</v>
          </cell>
          <cell r="AQ79">
            <v>89.723168329936229</v>
          </cell>
          <cell r="AR79">
            <v>90.864092616520168</v>
          </cell>
          <cell r="AS79">
            <v>92.005016903104107</v>
          </cell>
          <cell r="AT79">
            <v>93.155332048717</v>
          </cell>
          <cell r="AU79">
            <v>94.305647194329893</v>
          </cell>
          <cell r="AV79">
            <v>95.301083577458002</v>
          </cell>
          <cell r="AW79">
            <v>96.29651996058611</v>
          </cell>
          <cell r="AX79">
            <v>97.737207591146358</v>
          </cell>
          <cell r="AY79">
            <v>99.177895221706606</v>
          </cell>
          <cell r="AZ79">
            <v>99.449748640918514</v>
          </cell>
          <cell r="BA79">
            <v>99.721602060130422</v>
          </cell>
          <cell r="BB79">
            <v>99.860801030065218</v>
          </cell>
          <cell r="BC79">
            <v>100.00000000000001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9"/>
  <sheetViews>
    <sheetView tabSelected="1" view="pageBreakPreview" zoomScale="63" zoomScaleNormal="40" zoomScaleSheetLayoutView="40" workbookViewId="0">
      <pane xSplit="10" topLeftCell="Q1" activePane="topRight" state="frozen"/>
      <selection pane="topRight" activeCell="B3" sqref="B3:BD3"/>
    </sheetView>
  </sheetViews>
  <sheetFormatPr defaultColWidth="9.109375" defaultRowHeight="15.6" x14ac:dyDescent="0.3"/>
  <cols>
    <col min="1" max="1" width="9.109375" style="17"/>
    <col min="2" max="4" width="9.109375" style="1" customWidth="1"/>
    <col min="5" max="5" width="66.6640625" style="1" customWidth="1"/>
    <col min="6" max="6" width="18.88671875" style="1" customWidth="1"/>
    <col min="7" max="7" width="13.44140625" style="1" customWidth="1"/>
    <col min="8" max="8" width="23.5546875" style="1" customWidth="1"/>
    <col min="9" max="9" width="28.33203125" style="1" customWidth="1"/>
    <col min="10" max="10" width="9.5546875" style="1" customWidth="1"/>
    <col min="11" max="11" width="10.109375" style="1" customWidth="1"/>
    <col min="12" max="12" width="10.6640625" style="1" customWidth="1"/>
    <col min="13" max="14" width="11" style="1" customWidth="1"/>
    <col min="15" max="15" width="10.6640625" style="1" customWidth="1"/>
    <col min="16" max="16" width="10.33203125" style="1" bestFit="1" customWidth="1"/>
    <col min="17" max="18" width="9.109375" style="1"/>
    <col min="19" max="19" width="10.33203125" style="1" customWidth="1"/>
    <col min="20" max="36" width="9.109375" style="1"/>
    <col min="37" max="37" width="9.44140625" style="1" customWidth="1"/>
    <col min="38" max="38" width="8.44140625" style="1" customWidth="1"/>
    <col min="39" max="40" width="10.109375" style="1" customWidth="1"/>
    <col min="41" max="55" width="9.109375" style="1"/>
    <col min="56" max="56" width="11" style="1" customWidth="1"/>
    <col min="57" max="16384" width="9.109375" style="1"/>
  </cols>
  <sheetData>
    <row r="1" spans="1:58" x14ac:dyDescent="0.3">
      <c r="B1" s="5"/>
      <c r="C1" s="6"/>
      <c r="D1" s="6"/>
      <c r="E1" s="6"/>
      <c r="F1" s="7"/>
      <c r="G1" s="8"/>
      <c r="H1" s="9"/>
      <c r="I1" s="4"/>
      <c r="J1" s="2"/>
      <c r="K1" s="3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58" x14ac:dyDescent="0.3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</row>
    <row r="3" spans="1:58" x14ac:dyDescent="0.3">
      <c r="B3" s="86" t="s">
        <v>77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</row>
    <row r="4" spans="1:58" x14ac:dyDescent="0.3">
      <c r="B4" s="5"/>
      <c r="C4" s="89"/>
      <c r="D4" s="89"/>
      <c r="E4" s="11"/>
      <c r="F4" s="12"/>
      <c r="G4" s="13"/>
      <c r="H4" s="14"/>
      <c r="I4" s="10"/>
      <c r="J4" s="2"/>
      <c r="K4" s="3"/>
      <c r="L4" s="3"/>
      <c r="M4" s="3"/>
      <c r="N4" s="1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58" x14ac:dyDescent="0.3">
      <c r="B5" s="5"/>
      <c r="C5" s="9"/>
      <c r="D5" s="9"/>
      <c r="E5" s="9"/>
      <c r="F5" s="16"/>
      <c r="G5" s="9"/>
      <c r="H5" s="9"/>
      <c r="I5" s="4"/>
      <c r="J5" s="2"/>
      <c r="K5" s="3"/>
      <c r="L5" s="1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58" ht="15.75" customHeight="1" x14ac:dyDescent="0.3">
      <c r="B6" s="90" t="s">
        <v>1</v>
      </c>
      <c r="C6" s="90" t="s">
        <v>2</v>
      </c>
      <c r="D6" s="90"/>
      <c r="E6" s="90"/>
      <c r="F6" s="91" t="s">
        <v>3</v>
      </c>
      <c r="G6" s="97" t="s">
        <v>4</v>
      </c>
      <c r="H6" s="18" t="s">
        <v>5</v>
      </c>
      <c r="I6" s="19"/>
      <c r="J6" s="20" t="s">
        <v>6</v>
      </c>
      <c r="K6" s="93" t="s">
        <v>7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</row>
    <row r="7" spans="1:58" x14ac:dyDescent="0.3">
      <c r="B7" s="90"/>
      <c r="C7" s="90"/>
      <c r="D7" s="90"/>
      <c r="E7" s="90"/>
      <c r="F7" s="92"/>
      <c r="G7" s="98"/>
      <c r="H7" s="18" t="s">
        <v>4</v>
      </c>
      <c r="I7" s="18" t="s">
        <v>8</v>
      </c>
      <c r="J7" s="21" t="s">
        <v>9</v>
      </c>
      <c r="K7" s="22">
        <v>1</v>
      </c>
      <c r="L7" s="22">
        <v>2</v>
      </c>
      <c r="M7" s="22">
        <v>3</v>
      </c>
      <c r="N7" s="22">
        <v>4</v>
      </c>
      <c r="O7" s="22">
        <v>5</v>
      </c>
      <c r="P7" s="22">
        <v>6</v>
      </c>
      <c r="Q7" s="22">
        <v>7</v>
      </c>
      <c r="R7" s="22">
        <v>8</v>
      </c>
      <c r="S7" s="22">
        <v>9</v>
      </c>
      <c r="T7" s="22">
        <v>10</v>
      </c>
      <c r="U7" s="22">
        <v>11</v>
      </c>
      <c r="V7" s="22">
        <v>12</v>
      </c>
      <c r="W7" s="22">
        <v>13</v>
      </c>
      <c r="X7" s="22">
        <v>14</v>
      </c>
      <c r="Y7" s="22">
        <v>15</v>
      </c>
      <c r="Z7" s="22">
        <v>16</v>
      </c>
      <c r="AA7" s="22">
        <v>17</v>
      </c>
      <c r="AB7" s="22">
        <v>18</v>
      </c>
      <c r="AC7" s="22">
        <v>19</v>
      </c>
      <c r="AD7" s="22">
        <v>20</v>
      </c>
      <c r="AE7" s="22">
        <v>21</v>
      </c>
      <c r="AF7" s="22">
        <v>22</v>
      </c>
      <c r="AG7" s="22">
        <v>23</v>
      </c>
      <c r="AH7" s="22">
        <v>24</v>
      </c>
      <c r="AI7" s="22">
        <v>25</v>
      </c>
      <c r="AJ7" s="22">
        <v>26</v>
      </c>
      <c r="AK7" s="22">
        <v>27</v>
      </c>
      <c r="AL7" s="22">
        <v>28</v>
      </c>
      <c r="AM7" s="22">
        <v>29</v>
      </c>
      <c r="AN7" s="22">
        <v>30</v>
      </c>
      <c r="AO7" s="22">
        <v>31</v>
      </c>
      <c r="AP7" s="22">
        <v>32</v>
      </c>
      <c r="AQ7" s="22">
        <v>33</v>
      </c>
      <c r="AR7" s="22">
        <v>34</v>
      </c>
      <c r="AS7" s="22">
        <v>35</v>
      </c>
      <c r="AT7" s="22">
        <v>36</v>
      </c>
      <c r="AU7" s="22">
        <v>37</v>
      </c>
      <c r="AV7" s="22">
        <v>38</v>
      </c>
      <c r="AW7" s="22">
        <v>39</v>
      </c>
      <c r="AX7" s="22">
        <v>40</v>
      </c>
      <c r="AY7" s="22">
        <v>41</v>
      </c>
      <c r="AZ7" s="22">
        <v>42</v>
      </c>
      <c r="BA7" s="22">
        <v>43</v>
      </c>
      <c r="BB7" s="22">
        <v>44</v>
      </c>
      <c r="BC7" s="22">
        <v>45</v>
      </c>
      <c r="BD7" s="22">
        <v>46</v>
      </c>
    </row>
    <row r="8" spans="1:58" x14ac:dyDescent="0.3">
      <c r="B8" s="23"/>
      <c r="C8" s="23"/>
      <c r="D8" s="23"/>
      <c r="E8" s="24"/>
      <c r="F8" s="25"/>
      <c r="G8" s="26"/>
      <c r="H8" s="18"/>
      <c r="I8" s="18"/>
      <c r="J8" s="21"/>
      <c r="K8" s="27">
        <v>44137</v>
      </c>
      <c r="L8" s="27">
        <v>44144</v>
      </c>
      <c r="M8" s="27">
        <v>44151</v>
      </c>
      <c r="N8" s="27">
        <v>44158</v>
      </c>
      <c r="O8" s="27">
        <v>44165</v>
      </c>
      <c r="P8" s="27">
        <v>44172</v>
      </c>
      <c r="Q8" s="27">
        <v>44179</v>
      </c>
      <c r="R8" s="27">
        <v>44186</v>
      </c>
      <c r="S8" s="27">
        <v>44193</v>
      </c>
      <c r="T8" s="27">
        <v>44200</v>
      </c>
      <c r="U8" s="27">
        <v>44207</v>
      </c>
      <c r="V8" s="27">
        <v>44214</v>
      </c>
      <c r="W8" s="27">
        <v>44221</v>
      </c>
      <c r="X8" s="27">
        <v>44228</v>
      </c>
      <c r="Y8" s="27">
        <v>44235</v>
      </c>
      <c r="Z8" s="27">
        <v>44242</v>
      </c>
      <c r="AA8" s="27">
        <v>44249</v>
      </c>
      <c r="AB8" s="27">
        <v>44256</v>
      </c>
      <c r="AC8" s="27">
        <v>44263</v>
      </c>
      <c r="AD8" s="27">
        <v>44270</v>
      </c>
      <c r="AE8" s="27">
        <v>44277</v>
      </c>
      <c r="AF8" s="27">
        <v>44284</v>
      </c>
      <c r="AG8" s="27">
        <v>44291</v>
      </c>
      <c r="AH8" s="27">
        <v>44298</v>
      </c>
      <c r="AI8" s="27">
        <v>44305</v>
      </c>
      <c r="AJ8" s="27">
        <v>44312</v>
      </c>
      <c r="AK8" s="27">
        <v>44319</v>
      </c>
      <c r="AL8" s="27">
        <v>44326</v>
      </c>
      <c r="AM8" s="27">
        <v>44333</v>
      </c>
      <c r="AN8" s="27">
        <v>44340</v>
      </c>
      <c r="AO8" s="27">
        <v>44347</v>
      </c>
      <c r="AP8" s="27">
        <v>44354</v>
      </c>
      <c r="AQ8" s="27">
        <v>44361</v>
      </c>
      <c r="AR8" s="27">
        <v>44368</v>
      </c>
      <c r="AS8" s="27">
        <v>44375</v>
      </c>
      <c r="AT8" s="27">
        <v>44382</v>
      </c>
      <c r="AU8" s="27">
        <v>44389</v>
      </c>
      <c r="AV8" s="27">
        <v>44396</v>
      </c>
      <c r="AW8" s="27">
        <v>44403</v>
      </c>
      <c r="AX8" s="27">
        <v>44410</v>
      </c>
      <c r="AY8" s="27">
        <v>44417</v>
      </c>
      <c r="AZ8" s="27">
        <v>44424</v>
      </c>
      <c r="BA8" s="27">
        <v>44431</v>
      </c>
      <c r="BB8" s="27">
        <v>44438</v>
      </c>
      <c r="BC8" s="27">
        <v>44445</v>
      </c>
      <c r="BD8" s="27">
        <v>44452</v>
      </c>
    </row>
    <row r="9" spans="1:58" x14ac:dyDescent="0.3">
      <c r="A9" s="17">
        <v>1</v>
      </c>
      <c r="B9" s="28"/>
      <c r="C9" s="94" t="s">
        <v>76</v>
      </c>
      <c r="D9" s="94"/>
      <c r="E9" s="87"/>
      <c r="F9" s="29"/>
      <c r="G9" s="30"/>
      <c r="H9" s="28"/>
      <c r="I9" s="28"/>
      <c r="J9" s="3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32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</row>
    <row r="10" spans="1:58" x14ac:dyDescent="0.3">
      <c r="A10" s="17">
        <v>2</v>
      </c>
      <c r="B10" s="34" t="s">
        <v>10</v>
      </c>
      <c r="C10" s="95" t="s">
        <v>11</v>
      </c>
      <c r="D10" s="95"/>
      <c r="E10" s="96"/>
      <c r="F10" s="35"/>
      <c r="G10" s="36"/>
      <c r="H10" s="37"/>
      <c r="I10" s="38"/>
      <c r="J10" s="39"/>
      <c r="K10" s="40"/>
      <c r="L10" s="40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28"/>
      <c r="AK10" s="28"/>
      <c r="AL10" s="28"/>
      <c r="AM10" s="28"/>
      <c r="AN10" s="28"/>
      <c r="AO10" s="32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</row>
    <row r="11" spans="1:58" x14ac:dyDescent="0.3">
      <c r="A11" s="17">
        <v>3</v>
      </c>
      <c r="B11" s="28">
        <v>1</v>
      </c>
      <c r="C11" s="87" t="s">
        <v>12</v>
      </c>
      <c r="D11" s="88"/>
      <c r="E11" s="88"/>
      <c r="F11" s="42">
        <v>1</v>
      </c>
      <c r="G11" s="43" t="s">
        <v>13</v>
      </c>
      <c r="H11" s="44">
        <v>695640000</v>
      </c>
      <c r="I11" s="45">
        <f>H11*F11</f>
        <v>695640000</v>
      </c>
      <c r="J11" s="39">
        <f>(I11/$I$65)*100</f>
        <v>1.0519715815358524</v>
      </c>
      <c r="K11" s="46">
        <f>$J$11/8</f>
        <v>0.13149644769198154</v>
      </c>
      <c r="L11" s="46">
        <f t="shared" ref="L11:R11" si="0">$J$11/8</f>
        <v>0.13149644769198154</v>
      </c>
      <c r="M11" s="46">
        <f t="shared" si="0"/>
        <v>0.13149644769198154</v>
      </c>
      <c r="N11" s="46">
        <f t="shared" si="0"/>
        <v>0.13149644769198154</v>
      </c>
      <c r="O11" s="46">
        <f t="shared" si="0"/>
        <v>0.13149644769198154</v>
      </c>
      <c r="P11" s="46">
        <f t="shared" si="0"/>
        <v>0.13149644769198154</v>
      </c>
      <c r="Q11" s="46">
        <f t="shared" si="0"/>
        <v>0.13149644769198154</v>
      </c>
      <c r="R11" s="46">
        <f t="shared" si="0"/>
        <v>0.13149644769198154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28"/>
      <c r="AK11" s="28"/>
      <c r="AL11" s="28"/>
      <c r="AM11" s="28"/>
      <c r="AN11" s="28"/>
      <c r="AO11" s="32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E11" s="47"/>
      <c r="BF11" s="47"/>
    </row>
    <row r="12" spans="1:58" x14ac:dyDescent="0.3">
      <c r="A12" s="17">
        <v>4</v>
      </c>
      <c r="B12" s="28">
        <v>2</v>
      </c>
      <c r="C12" s="87" t="s">
        <v>14</v>
      </c>
      <c r="D12" s="88"/>
      <c r="E12" s="88"/>
      <c r="F12" s="42">
        <v>1</v>
      </c>
      <c r="G12" s="43" t="s">
        <v>13</v>
      </c>
      <c r="H12" s="44">
        <v>86943000</v>
      </c>
      <c r="I12" s="45">
        <f>H12*F12</f>
        <v>86943000</v>
      </c>
      <c r="J12" s="39">
        <f>(I12/$I$65)*100</f>
        <v>0.13147830086463055</v>
      </c>
      <c r="K12" s="46">
        <f t="shared" ref="K12:BC12" si="1">$J$12/46</f>
        <v>2.8582239318397946E-3</v>
      </c>
      <c r="L12" s="46">
        <f t="shared" si="1"/>
        <v>2.8582239318397946E-3</v>
      </c>
      <c r="M12" s="46">
        <f t="shared" si="1"/>
        <v>2.8582239318397946E-3</v>
      </c>
      <c r="N12" s="46">
        <f t="shared" si="1"/>
        <v>2.8582239318397946E-3</v>
      </c>
      <c r="O12" s="46">
        <f t="shared" si="1"/>
        <v>2.8582239318397946E-3</v>
      </c>
      <c r="P12" s="46">
        <f t="shared" si="1"/>
        <v>2.8582239318397946E-3</v>
      </c>
      <c r="Q12" s="46">
        <f t="shared" si="1"/>
        <v>2.8582239318397946E-3</v>
      </c>
      <c r="R12" s="46">
        <f t="shared" si="1"/>
        <v>2.8582239318397946E-3</v>
      </c>
      <c r="S12" s="46">
        <f t="shared" si="1"/>
        <v>2.8582239318397946E-3</v>
      </c>
      <c r="T12" s="46">
        <f t="shared" si="1"/>
        <v>2.8582239318397946E-3</v>
      </c>
      <c r="U12" s="46">
        <f t="shared" si="1"/>
        <v>2.8582239318397946E-3</v>
      </c>
      <c r="V12" s="46">
        <f t="shared" si="1"/>
        <v>2.8582239318397946E-3</v>
      </c>
      <c r="W12" s="46">
        <f t="shared" si="1"/>
        <v>2.8582239318397946E-3</v>
      </c>
      <c r="X12" s="46">
        <f t="shared" si="1"/>
        <v>2.8582239318397946E-3</v>
      </c>
      <c r="Y12" s="46">
        <f t="shared" si="1"/>
        <v>2.8582239318397946E-3</v>
      </c>
      <c r="Z12" s="46">
        <f t="shared" si="1"/>
        <v>2.8582239318397946E-3</v>
      </c>
      <c r="AA12" s="46">
        <f t="shared" si="1"/>
        <v>2.8582239318397946E-3</v>
      </c>
      <c r="AB12" s="46">
        <f t="shared" si="1"/>
        <v>2.8582239318397946E-3</v>
      </c>
      <c r="AC12" s="46">
        <f t="shared" si="1"/>
        <v>2.8582239318397946E-3</v>
      </c>
      <c r="AD12" s="46">
        <f t="shared" si="1"/>
        <v>2.8582239318397946E-3</v>
      </c>
      <c r="AE12" s="46">
        <f t="shared" si="1"/>
        <v>2.8582239318397946E-3</v>
      </c>
      <c r="AF12" s="46">
        <f t="shared" si="1"/>
        <v>2.8582239318397946E-3</v>
      </c>
      <c r="AG12" s="46">
        <f t="shared" si="1"/>
        <v>2.8582239318397946E-3</v>
      </c>
      <c r="AH12" s="46">
        <f t="shared" si="1"/>
        <v>2.8582239318397946E-3</v>
      </c>
      <c r="AI12" s="46">
        <f t="shared" si="1"/>
        <v>2.8582239318397946E-3</v>
      </c>
      <c r="AJ12" s="46">
        <f t="shared" si="1"/>
        <v>2.8582239318397946E-3</v>
      </c>
      <c r="AK12" s="46">
        <f t="shared" si="1"/>
        <v>2.8582239318397946E-3</v>
      </c>
      <c r="AL12" s="46">
        <f t="shared" si="1"/>
        <v>2.8582239318397946E-3</v>
      </c>
      <c r="AM12" s="46">
        <f t="shared" si="1"/>
        <v>2.8582239318397946E-3</v>
      </c>
      <c r="AN12" s="46">
        <f t="shared" si="1"/>
        <v>2.8582239318397946E-3</v>
      </c>
      <c r="AO12" s="46">
        <f t="shared" si="1"/>
        <v>2.8582239318397946E-3</v>
      </c>
      <c r="AP12" s="46">
        <f t="shared" si="1"/>
        <v>2.8582239318397946E-3</v>
      </c>
      <c r="AQ12" s="46">
        <f t="shared" si="1"/>
        <v>2.8582239318397946E-3</v>
      </c>
      <c r="AR12" s="46">
        <f t="shared" si="1"/>
        <v>2.8582239318397946E-3</v>
      </c>
      <c r="AS12" s="46">
        <f t="shared" si="1"/>
        <v>2.8582239318397946E-3</v>
      </c>
      <c r="AT12" s="46">
        <f t="shared" si="1"/>
        <v>2.8582239318397946E-3</v>
      </c>
      <c r="AU12" s="46">
        <f t="shared" si="1"/>
        <v>2.8582239318397946E-3</v>
      </c>
      <c r="AV12" s="46">
        <f t="shared" si="1"/>
        <v>2.8582239318397946E-3</v>
      </c>
      <c r="AW12" s="46">
        <f t="shared" si="1"/>
        <v>2.8582239318397946E-3</v>
      </c>
      <c r="AX12" s="46">
        <f t="shared" si="1"/>
        <v>2.8582239318397946E-3</v>
      </c>
      <c r="AY12" s="46">
        <f t="shared" si="1"/>
        <v>2.8582239318397946E-3</v>
      </c>
      <c r="AZ12" s="46">
        <f t="shared" si="1"/>
        <v>2.8582239318397946E-3</v>
      </c>
      <c r="BA12" s="46">
        <f t="shared" si="1"/>
        <v>2.8582239318397946E-3</v>
      </c>
      <c r="BB12" s="46">
        <f t="shared" si="1"/>
        <v>2.8582239318397946E-3</v>
      </c>
      <c r="BC12" s="46">
        <f t="shared" si="1"/>
        <v>2.8582239318397946E-3</v>
      </c>
      <c r="BD12" s="46">
        <f>$J$12/46</f>
        <v>2.8582239318397946E-3</v>
      </c>
      <c r="BE12" s="47"/>
      <c r="BF12" s="47"/>
    </row>
    <row r="13" spans="1:58" x14ac:dyDescent="0.3">
      <c r="A13" s="17">
        <v>5</v>
      </c>
      <c r="B13" s="28">
        <v>3</v>
      </c>
      <c r="C13" s="87" t="s">
        <v>15</v>
      </c>
      <c r="D13" s="88"/>
      <c r="E13" s="88"/>
      <c r="F13" s="42">
        <v>1</v>
      </c>
      <c r="G13" s="43" t="s">
        <v>13</v>
      </c>
      <c r="H13" s="44">
        <v>66798000</v>
      </c>
      <c r="I13" s="45">
        <f>H13*F13</f>
        <v>66798000</v>
      </c>
      <c r="J13" s="39">
        <f>(I13/$I$65)*100</f>
        <v>0.10101431444918617</v>
      </c>
      <c r="K13" s="48">
        <f>$J$13/46</f>
        <v>2.1959633575910037E-3</v>
      </c>
      <c r="L13" s="48">
        <f t="shared" ref="L13:BD13" si="2">$J$13/46</f>
        <v>2.1959633575910037E-3</v>
      </c>
      <c r="M13" s="48">
        <f t="shared" si="2"/>
        <v>2.1959633575910037E-3</v>
      </c>
      <c r="N13" s="48">
        <f t="shared" si="2"/>
        <v>2.1959633575910037E-3</v>
      </c>
      <c r="O13" s="48">
        <f t="shared" si="2"/>
        <v>2.1959633575910037E-3</v>
      </c>
      <c r="P13" s="48">
        <f t="shared" si="2"/>
        <v>2.1959633575910037E-3</v>
      </c>
      <c r="Q13" s="48">
        <f t="shared" si="2"/>
        <v>2.1959633575910037E-3</v>
      </c>
      <c r="R13" s="48">
        <f t="shared" si="2"/>
        <v>2.1959633575910037E-3</v>
      </c>
      <c r="S13" s="48">
        <f t="shared" si="2"/>
        <v>2.1959633575910037E-3</v>
      </c>
      <c r="T13" s="48">
        <f t="shared" si="2"/>
        <v>2.1959633575910037E-3</v>
      </c>
      <c r="U13" s="48">
        <f t="shared" si="2"/>
        <v>2.1959633575910037E-3</v>
      </c>
      <c r="V13" s="48">
        <f t="shared" si="2"/>
        <v>2.1959633575910037E-3</v>
      </c>
      <c r="W13" s="48">
        <f t="shared" si="2"/>
        <v>2.1959633575910037E-3</v>
      </c>
      <c r="X13" s="48">
        <f t="shared" si="2"/>
        <v>2.1959633575910037E-3</v>
      </c>
      <c r="Y13" s="48">
        <f t="shared" si="2"/>
        <v>2.1959633575910037E-3</v>
      </c>
      <c r="Z13" s="48">
        <f t="shared" si="2"/>
        <v>2.1959633575910037E-3</v>
      </c>
      <c r="AA13" s="48">
        <f t="shared" si="2"/>
        <v>2.1959633575910037E-3</v>
      </c>
      <c r="AB13" s="48">
        <f t="shared" si="2"/>
        <v>2.1959633575910037E-3</v>
      </c>
      <c r="AC13" s="48">
        <f t="shared" si="2"/>
        <v>2.1959633575910037E-3</v>
      </c>
      <c r="AD13" s="48">
        <f t="shared" si="2"/>
        <v>2.1959633575910037E-3</v>
      </c>
      <c r="AE13" s="48">
        <f t="shared" si="2"/>
        <v>2.1959633575910037E-3</v>
      </c>
      <c r="AF13" s="48">
        <f t="shared" si="2"/>
        <v>2.1959633575910037E-3</v>
      </c>
      <c r="AG13" s="48">
        <f t="shared" si="2"/>
        <v>2.1959633575910037E-3</v>
      </c>
      <c r="AH13" s="48">
        <f t="shared" si="2"/>
        <v>2.1959633575910037E-3</v>
      </c>
      <c r="AI13" s="48">
        <f t="shared" si="2"/>
        <v>2.1959633575910037E-3</v>
      </c>
      <c r="AJ13" s="48">
        <f t="shared" si="2"/>
        <v>2.1959633575910037E-3</v>
      </c>
      <c r="AK13" s="48">
        <f t="shared" si="2"/>
        <v>2.1959633575910037E-3</v>
      </c>
      <c r="AL13" s="48">
        <f t="shared" si="2"/>
        <v>2.1959633575910037E-3</v>
      </c>
      <c r="AM13" s="48">
        <f t="shared" si="2"/>
        <v>2.1959633575910037E-3</v>
      </c>
      <c r="AN13" s="48">
        <f t="shared" si="2"/>
        <v>2.1959633575910037E-3</v>
      </c>
      <c r="AO13" s="48">
        <f t="shared" si="2"/>
        <v>2.1959633575910037E-3</v>
      </c>
      <c r="AP13" s="48">
        <f t="shared" si="2"/>
        <v>2.1959633575910037E-3</v>
      </c>
      <c r="AQ13" s="48">
        <f t="shared" si="2"/>
        <v>2.1959633575910037E-3</v>
      </c>
      <c r="AR13" s="48">
        <f t="shared" si="2"/>
        <v>2.1959633575910037E-3</v>
      </c>
      <c r="AS13" s="48">
        <f t="shared" si="2"/>
        <v>2.1959633575910037E-3</v>
      </c>
      <c r="AT13" s="48">
        <f t="shared" si="2"/>
        <v>2.1959633575910037E-3</v>
      </c>
      <c r="AU13" s="48">
        <f t="shared" si="2"/>
        <v>2.1959633575910037E-3</v>
      </c>
      <c r="AV13" s="48">
        <f t="shared" si="2"/>
        <v>2.1959633575910037E-3</v>
      </c>
      <c r="AW13" s="48">
        <f t="shared" si="2"/>
        <v>2.1959633575910037E-3</v>
      </c>
      <c r="AX13" s="48">
        <f t="shared" si="2"/>
        <v>2.1959633575910037E-3</v>
      </c>
      <c r="AY13" s="48">
        <f t="shared" si="2"/>
        <v>2.1959633575910037E-3</v>
      </c>
      <c r="AZ13" s="48">
        <f t="shared" si="2"/>
        <v>2.1959633575910037E-3</v>
      </c>
      <c r="BA13" s="48">
        <f t="shared" si="2"/>
        <v>2.1959633575910037E-3</v>
      </c>
      <c r="BB13" s="48">
        <f t="shared" si="2"/>
        <v>2.1959633575910037E-3</v>
      </c>
      <c r="BC13" s="48">
        <f t="shared" si="2"/>
        <v>2.1959633575910037E-3</v>
      </c>
      <c r="BD13" s="48">
        <f t="shared" si="2"/>
        <v>2.1959633575910037E-3</v>
      </c>
      <c r="BE13" s="47"/>
      <c r="BF13" s="47"/>
    </row>
    <row r="14" spans="1:58" x14ac:dyDescent="0.3">
      <c r="A14" s="17">
        <v>6</v>
      </c>
      <c r="B14" s="28">
        <v>4</v>
      </c>
      <c r="C14" s="87" t="s">
        <v>16</v>
      </c>
      <c r="D14" s="88"/>
      <c r="E14" s="88"/>
      <c r="F14" s="42">
        <v>320</v>
      </c>
      <c r="G14" s="43" t="s">
        <v>17</v>
      </c>
      <c r="H14" s="44">
        <v>488867.5</v>
      </c>
      <c r="I14" s="45">
        <f>H14*F14</f>
        <v>156437600</v>
      </c>
      <c r="J14" s="39">
        <f>(I14/$I$65)*100</f>
        <v>0.23657050986670269</v>
      </c>
      <c r="K14" s="40"/>
      <c r="L14" s="46">
        <f>$J$14/4</f>
        <v>5.9142627466675673E-2</v>
      </c>
      <c r="M14" s="46">
        <f t="shared" ref="M14:O14" si="3">$J$14/4</f>
        <v>5.9142627466675673E-2</v>
      </c>
      <c r="N14" s="46">
        <f t="shared" si="3"/>
        <v>5.9142627466675673E-2</v>
      </c>
      <c r="O14" s="46">
        <f t="shared" si="3"/>
        <v>5.9142627466675673E-2</v>
      </c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28"/>
      <c r="AK14" s="28"/>
      <c r="AL14" s="28"/>
      <c r="AM14" s="28"/>
      <c r="AN14" s="28"/>
      <c r="AO14" s="32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47"/>
      <c r="BF14" s="47"/>
    </row>
    <row r="15" spans="1:58" x14ac:dyDescent="0.3">
      <c r="A15" s="17">
        <v>7</v>
      </c>
      <c r="B15" s="49">
        <v>5</v>
      </c>
      <c r="C15" s="87" t="s">
        <v>18</v>
      </c>
      <c r="D15" s="88"/>
      <c r="E15" s="88"/>
      <c r="F15" s="42">
        <v>120</v>
      </c>
      <c r="G15" s="50" t="s">
        <v>17</v>
      </c>
      <c r="H15" s="44">
        <v>247280</v>
      </c>
      <c r="I15" s="45">
        <f>H15*F15</f>
        <v>29673600</v>
      </c>
      <c r="J15" s="39">
        <f>(I15/$I$65)*100</f>
        <v>4.48734746734838E-2</v>
      </c>
      <c r="K15" s="41"/>
      <c r="L15" s="51">
        <f>$J$15/2</f>
        <v>2.24367373367419E-2</v>
      </c>
      <c r="M15" s="51">
        <f>$J$15/2</f>
        <v>2.24367373367419E-2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28"/>
      <c r="AK15" s="28"/>
      <c r="AL15" s="28"/>
      <c r="AM15" s="28"/>
      <c r="AN15" s="28"/>
      <c r="AO15" s="32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47"/>
      <c r="BF15" s="47"/>
    </row>
    <row r="16" spans="1:58" x14ac:dyDescent="0.3">
      <c r="B16" s="49"/>
      <c r="C16" s="87"/>
      <c r="D16" s="88"/>
      <c r="E16" s="88"/>
      <c r="F16" s="42"/>
      <c r="G16" s="50"/>
      <c r="H16" s="44"/>
      <c r="I16" s="28"/>
      <c r="J16" s="39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28"/>
      <c r="AK16" s="28"/>
      <c r="AL16" s="28"/>
      <c r="AM16" s="28"/>
      <c r="AN16" s="28"/>
      <c r="AO16" s="32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47"/>
      <c r="BF16" s="47"/>
    </row>
    <row r="17" spans="1:58" x14ac:dyDescent="0.3">
      <c r="A17" s="17">
        <v>8</v>
      </c>
      <c r="B17" s="52" t="s">
        <v>19</v>
      </c>
      <c r="C17" s="101" t="s">
        <v>20</v>
      </c>
      <c r="D17" s="101"/>
      <c r="E17" s="102"/>
      <c r="F17" s="42"/>
      <c r="G17" s="53"/>
      <c r="H17" s="54"/>
      <c r="I17" s="38"/>
      <c r="J17" s="39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28"/>
      <c r="AK17" s="28"/>
      <c r="AL17" s="28"/>
      <c r="AM17" s="28"/>
      <c r="AN17" s="28"/>
      <c r="AO17" s="32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47"/>
      <c r="BF17" s="47"/>
    </row>
    <row r="18" spans="1:58" x14ac:dyDescent="0.3">
      <c r="A18" s="17">
        <v>9</v>
      </c>
      <c r="B18" s="55">
        <v>6</v>
      </c>
      <c r="C18" s="99" t="s">
        <v>21</v>
      </c>
      <c r="D18" s="99"/>
      <c r="E18" s="100"/>
      <c r="F18" s="42">
        <v>9464</v>
      </c>
      <c r="G18" s="56" t="s">
        <v>22</v>
      </c>
      <c r="H18" s="44">
        <v>48405.97</v>
      </c>
      <c r="I18" s="44">
        <f>H18*F18</f>
        <v>458114100.07999998</v>
      </c>
      <c r="J18" s="39">
        <f>(I18/$I$65)*100</f>
        <v>0.69277645676647592</v>
      </c>
      <c r="K18" s="41"/>
      <c r="L18" s="57"/>
      <c r="M18" s="40"/>
      <c r="N18" s="40"/>
      <c r="O18" s="40"/>
      <c r="P18" s="40"/>
      <c r="Q18" s="40"/>
      <c r="S18" s="46">
        <f>$J$18/16</f>
        <v>4.3298528547904745E-2</v>
      </c>
      <c r="T18" s="46">
        <f t="shared" ref="T18:AH18" si="4">$J$18/16</f>
        <v>4.3298528547904745E-2</v>
      </c>
      <c r="U18" s="46">
        <f t="shared" si="4"/>
        <v>4.3298528547904745E-2</v>
      </c>
      <c r="V18" s="46">
        <f t="shared" si="4"/>
        <v>4.3298528547904745E-2</v>
      </c>
      <c r="W18" s="46">
        <f t="shared" si="4"/>
        <v>4.3298528547904745E-2</v>
      </c>
      <c r="X18" s="46">
        <f t="shared" si="4"/>
        <v>4.3298528547904745E-2</v>
      </c>
      <c r="Y18" s="46">
        <f t="shared" si="4"/>
        <v>4.3298528547904745E-2</v>
      </c>
      <c r="Z18" s="46">
        <f t="shared" si="4"/>
        <v>4.3298528547904745E-2</v>
      </c>
      <c r="AA18" s="46">
        <f t="shared" si="4"/>
        <v>4.3298528547904745E-2</v>
      </c>
      <c r="AB18" s="46">
        <f t="shared" si="4"/>
        <v>4.3298528547904745E-2</v>
      </c>
      <c r="AC18" s="46">
        <f t="shared" si="4"/>
        <v>4.3298528547904745E-2</v>
      </c>
      <c r="AD18" s="46">
        <f t="shared" si="4"/>
        <v>4.3298528547904745E-2</v>
      </c>
      <c r="AE18" s="46">
        <f t="shared" si="4"/>
        <v>4.3298528547904745E-2</v>
      </c>
      <c r="AF18" s="46">
        <f t="shared" si="4"/>
        <v>4.3298528547904745E-2</v>
      </c>
      <c r="AG18" s="46">
        <f t="shared" si="4"/>
        <v>4.3298528547904745E-2</v>
      </c>
      <c r="AH18" s="46">
        <f t="shared" si="4"/>
        <v>4.3298528547904745E-2</v>
      </c>
      <c r="AI18" s="41"/>
      <c r="AJ18" s="28"/>
      <c r="AK18" s="28"/>
      <c r="AL18" s="28"/>
      <c r="AM18" s="28"/>
      <c r="AN18" s="28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47"/>
      <c r="BF18" s="47"/>
    </row>
    <row r="19" spans="1:58" x14ac:dyDescent="0.3">
      <c r="A19" s="17">
        <v>10</v>
      </c>
      <c r="B19" s="55">
        <v>7</v>
      </c>
      <c r="C19" s="99" t="s">
        <v>23</v>
      </c>
      <c r="D19" s="99"/>
      <c r="E19" s="100"/>
      <c r="F19" s="42">
        <v>4056</v>
      </c>
      <c r="G19" s="56" t="s">
        <v>22</v>
      </c>
      <c r="H19" s="44">
        <v>885864.01</v>
      </c>
      <c r="I19" s="44">
        <f t="shared" ref="I19:I20" si="5">H19*F19</f>
        <v>3593064424.5599999</v>
      </c>
      <c r="J19" s="39">
        <f>(I19/$I$65)*100</f>
        <v>5.4335599811175177</v>
      </c>
      <c r="K19" s="41"/>
      <c r="L19" s="40"/>
      <c r="M19" s="40"/>
      <c r="N19" s="40"/>
      <c r="O19" s="40"/>
      <c r="P19" s="33"/>
      <c r="Q19" s="33"/>
      <c r="R19" s="58"/>
      <c r="S19" s="58"/>
      <c r="U19" s="59">
        <f>$J$19/16</f>
        <v>0.33959749881984486</v>
      </c>
      <c r="V19" s="59">
        <f t="shared" ref="V19:AJ19" si="6">$J$19/16</f>
        <v>0.33959749881984486</v>
      </c>
      <c r="W19" s="59">
        <f t="shared" si="6"/>
        <v>0.33959749881984486</v>
      </c>
      <c r="X19" s="59">
        <f t="shared" si="6"/>
        <v>0.33959749881984486</v>
      </c>
      <c r="Y19" s="59">
        <f t="shared" si="6"/>
        <v>0.33959749881984486</v>
      </c>
      <c r="Z19" s="59">
        <f t="shared" si="6"/>
        <v>0.33959749881984486</v>
      </c>
      <c r="AA19" s="59">
        <f t="shared" si="6"/>
        <v>0.33959749881984486</v>
      </c>
      <c r="AB19" s="59">
        <f t="shared" si="6"/>
        <v>0.33959749881984486</v>
      </c>
      <c r="AC19" s="59">
        <f t="shared" si="6"/>
        <v>0.33959749881984486</v>
      </c>
      <c r="AD19" s="59">
        <f t="shared" si="6"/>
        <v>0.33959749881984486</v>
      </c>
      <c r="AE19" s="59">
        <f t="shared" si="6"/>
        <v>0.33959749881984486</v>
      </c>
      <c r="AF19" s="59">
        <f t="shared" si="6"/>
        <v>0.33959749881984486</v>
      </c>
      <c r="AG19" s="59">
        <f t="shared" si="6"/>
        <v>0.33959749881984486</v>
      </c>
      <c r="AH19" s="59">
        <f t="shared" si="6"/>
        <v>0.33959749881984486</v>
      </c>
      <c r="AI19" s="59">
        <f t="shared" si="6"/>
        <v>0.33959749881984486</v>
      </c>
      <c r="AJ19" s="59">
        <f t="shared" si="6"/>
        <v>0.33959749881984486</v>
      </c>
      <c r="AK19" s="60"/>
      <c r="AL19" s="60"/>
      <c r="AM19" s="60"/>
      <c r="AN19" s="60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47"/>
      <c r="BF19" s="47"/>
    </row>
    <row r="20" spans="1:58" x14ac:dyDescent="0.3">
      <c r="A20" s="17">
        <v>11</v>
      </c>
      <c r="B20" s="55">
        <v>8</v>
      </c>
      <c r="C20" s="99" t="s">
        <v>24</v>
      </c>
      <c r="D20" s="99"/>
      <c r="E20" s="100"/>
      <c r="F20" s="42">
        <v>220</v>
      </c>
      <c r="G20" s="56" t="s">
        <v>17</v>
      </c>
      <c r="H20" s="44">
        <v>2376101.9700000002</v>
      </c>
      <c r="I20" s="44">
        <f t="shared" si="5"/>
        <v>522742433.40000004</v>
      </c>
      <c r="J20" s="39">
        <f>(I20/$I$65)*100</f>
        <v>0.79050972399473574</v>
      </c>
      <c r="K20" s="41"/>
      <c r="L20" s="40"/>
      <c r="M20" s="40"/>
      <c r="N20" s="40"/>
      <c r="O20" s="40"/>
      <c r="P20" s="33"/>
      <c r="Q20" s="33"/>
      <c r="R20" s="58"/>
      <c r="S20" s="58"/>
      <c r="T20" s="58"/>
      <c r="U20" s="58"/>
      <c r="V20" s="40"/>
      <c r="W20" s="40"/>
      <c r="Y20" s="40"/>
      <c r="Z20" s="40"/>
      <c r="AA20" s="40"/>
      <c r="AB20" s="40"/>
      <c r="AC20" s="61">
        <f>$J$20/4</f>
        <v>0.19762743099868393</v>
      </c>
      <c r="AD20" s="61">
        <f t="shared" ref="AD20:AF20" si="7">$J$20/4</f>
        <v>0.19762743099868393</v>
      </c>
      <c r="AE20" s="61">
        <f t="shared" si="7"/>
        <v>0.19762743099868393</v>
      </c>
      <c r="AF20" s="61">
        <f t="shared" si="7"/>
        <v>0.19762743099868393</v>
      </c>
      <c r="AG20" s="62"/>
      <c r="AH20" s="62"/>
      <c r="AI20" s="62"/>
      <c r="AJ20" s="60"/>
      <c r="AK20" s="60"/>
      <c r="AL20" s="60"/>
      <c r="AM20" s="60"/>
      <c r="AN20" s="60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47"/>
      <c r="BF20" s="47"/>
    </row>
    <row r="21" spans="1:58" x14ac:dyDescent="0.3">
      <c r="A21" s="17">
        <v>12</v>
      </c>
      <c r="B21" s="55">
        <v>9</v>
      </c>
      <c r="C21" s="99" t="s">
        <v>25</v>
      </c>
      <c r="D21" s="99"/>
      <c r="E21" s="100"/>
      <c r="F21" s="42">
        <v>223.5</v>
      </c>
      <c r="G21" s="56" t="s">
        <v>22</v>
      </c>
      <c r="H21" s="44">
        <v>1931877.77</v>
      </c>
      <c r="I21" s="44">
        <f>H21*F21</f>
        <v>431774681.59500003</v>
      </c>
      <c r="J21" s="39">
        <f>(I21/$I$65)*100</f>
        <v>0.65294505011878445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Y21" s="41"/>
      <c r="Z21" s="41"/>
      <c r="AA21" s="41"/>
      <c r="AB21" s="41"/>
      <c r="AC21" s="51">
        <f t="shared" ref="AC21:AG21" si="8">$J$21/6</f>
        <v>0.10882417501979741</v>
      </c>
      <c r="AD21" s="51">
        <f t="shared" si="8"/>
        <v>0.10882417501979741</v>
      </c>
      <c r="AE21" s="51">
        <f t="shared" si="8"/>
        <v>0.10882417501979741</v>
      </c>
      <c r="AF21" s="51">
        <f t="shared" si="8"/>
        <v>0.10882417501979741</v>
      </c>
      <c r="AG21" s="51">
        <f t="shared" si="8"/>
        <v>0.10882417501979741</v>
      </c>
      <c r="AH21" s="51">
        <f>$J$21/6</f>
        <v>0.10882417501979741</v>
      </c>
      <c r="AI21" s="41"/>
      <c r="AJ21" s="28"/>
      <c r="AK21" s="28"/>
      <c r="AL21" s="28"/>
      <c r="AM21" s="28"/>
      <c r="AN21" s="28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47"/>
      <c r="BF21" s="47"/>
    </row>
    <row r="22" spans="1:58" x14ac:dyDescent="0.3">
      <c r="B22" s="55"/>
      <c r="C22" s="99"/>
      <c r="D22" s="99"/>
      <c r="E22" s="100"/>
      <c r="F22" s="42"/>
      <c r="G22" s="56"/>
      <c r="H22" s="44"/>
      <c r="I22" s="63"/>
      <c r="J22" s="39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28"/>
      <c r="AK22" s="28"/>
      <c r="AL22" s="28"/>
      <c r="AM22" s="28"/>
      <c r="AN22" s="28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47"/>
      <c r="BF22" s="47"/>
    </row>
    <row r="23" spans="1:58" x14ac:dyDescent="0.3">
      <c r="A23" s="17">
        <v>13</v>
      </c>
      <c r="B23" s="52" t="s">
        <v>26</v>
      </c>
      <c r="C23" s="101" t="s">
        <v>27</v>
      </c>
      <c r="D23" s="101"/>
      <c r="E23" s="102"/>
      <c r="F23" s="42"/>
      <c r="G23" s="64"/>
      <c r="H23" s="54"/>
      <c r="I23" s="38"/>
      <c r="J23" s="39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28"/>
      <c r="AK23" s="28"/>
      <c r="AL23" s="28"/>
      <c r="AM23" s="28"/>
      <c r="AN23" s="28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47"/>
      <c r="BF23" s="47"/>
    </row>
    <row r="24" spans="1:58" x14ac:dyDescent="0.3">
      <c r="A24" s="17">
        <v>14</v>
      </c>
      <c r="B24" s="55">
        <v>10</v>
      </c>
      <c r="C24" s="99" t="s">
        <v>28</v>
      </c>
      <c r="D24" s="99"/>
      <c r="E24" s="100"/>
      <c r="F24" s="42">
        <v>76817.64</v>
      </c>
      <c r="G24" s="56" t="s">
        <v>22</v>
      </c>
      <c r="H24" s="44">
        <v>35243.660000000003</v>
      </c>
      <c r="I24" s="44">
        <f t="shared" ref="I24:I29" si="9">H24*F24</f>
        <v>2707334786.1624002</v>
      </c>
      <c r="J24" s="39">
        <f t="shared" ref="J24:J29" si="10">(I24/$I$65)*100</f>
        <v>4.0941280788141698</v>
      </c>
      <c r="K24" s="41"/>
      <c r="L24" s="41"/>
      <c r="M24" s="51">
        <f>$J$24/24</f>
        <v>0.17058866995059041</v>
      </c>
      <c r="N24" s="51">
        <f t="shared" ref="N24:AJ24" si="11">$J$24/24</f>
        <v>0.17058866995059041</v>
      </c>
      <c r="O24" s="51">
        <f t="shared" si="11"/>
        <v>0.17058866995059041</v>
      </c>
      <c r="P24" s="51">
        <f t="shared" si="11"/>
        <v>0.17058866995059041</v>
      </c>
      <c r="Q24" s="51">
        <f t="shared" si="11"/>
        <v>0.17058866995059041</v>
      </c>
      <c r="R24" s="51">
        <f t="shared" si="11"/>
        <v>0.17058866995059041</v>
      </c>
      <c r="S24" s="51">
        <f t="shared" si="11"/>
        <v>0.17058866995059041</v>
      </c>
      <c r="T24" s="51">
        <f t="shared" si="11"/>
        <v>0.17058866995059041</v>
      </c>
      <c r="U24" s="51">
        <f t="shared" si="11"/>
        <v>0.17058866995059041</v>
      </c>
      <c r="V24" s="51">
        <f t="shared" si="11"/>
        <v>0.17058866995059041</v>
      </c>
      <c r="W24" s="51">
        <f t="shared" si="11"/>
        <v>0.17058866995059041</v>
      </c>
      <c r="X24" s="51">
        <f t="shared" si="11"/>
        <v>0.17058866995059041</v>
      </c>
      <c r="Y24" s="51">
        <f t="shared" si="11"/>
        <v>0.17058866995059041</v>
      </c>
      <c r="Z24" s="51">
        <f t="shared" si="11"/>
        <v>0.17058866995059041</v>
      </c>
      <c r="AA24" s="51">
        <f t="shared" si="11"/>
        <v>0.17058866995059041</v>
      </c>
      <c r="AB24" s="51">
        <f t="shared" si="11"/>
        <v>0.17058866995059041</v>
      </c>
      <c r="AC24" s="51">
        <f t="shared" si="11"/>
        <v>0.17058866995059041</v>
      </c>
      <c r="AD24" s="51">
        <f>$J$24/24</f>
        <v>0.17058866995059041</v>
      </c>
      <c r="AE24" s="51">
        <f t="shared" si="11"/>
        <v>0.17058866995059041</v>
      </c>
      <c r="AF24" s="51">
        <f t="shared" si="11"/>
        <v>0.17058866995059041</v>
      </c>
      <c r="AG24" s="51">
        <f t="shared" si="11"/>
        <v>0.17058866995059041</v>
      </c>
      <c r="AH24" s="51">
        <f t="shared" si="11"/>
        <v>0.17058866995059041</v>
      </c>
      <c r="AI24" s="51">
        <f t="shared" si="11"/>
        <v>0.17058866995059041</v>
      </c>
      <c r="AJ24" s="51">
        <f t="shared" si="11"/>
        <v>0.17058866995059041</v>
      </c>
      <c r="AK24" s="28"/>
      <c r="AL24" s="28"/>
      <c r="AM24" s="28"/>
      <c r="AN24" s="28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47"/>
      <c r="BF24" s="47"/>
    </row>
    <row r="25" spans="1:58" x14ac:dyDescent="0.3">
      <c r="A25" s="17">
        <v>15</v>
      </c>
      <c r="B25" s="55">
        <v>11</v>
      </c>
      <c r="C25" s="99" t="s">
        <v>29</v>
      </c>
      <c r="D25" s="99"/>
      <c r="E25" s="100"/>
      <c r="F25" s="42">
        <v>236.4</v>
      </c>
      <c r="G25" s="56" t="s">
        <v>22</v>
      </c>
      <c r="H25" s="44">
        <v>18543.939999999999</v>
      </c>
      <c r="I25" s="44">
        <f t="shared" si="9"/>
        <v>4383787.4160000002</v>
      </c>
      <c r="J25" s="39">
        <f t="shared" si="10"/>
        <v>6.6293194484596729E-3</v>
      </c>
      <c r="K25" s="41"/>
      <c r="L25" s="41"/>
      <c r="M25" s="41"/>
      <c r="N25" s="41"/>
      <c r="O25" s="51">
        <f>$J$25/10</f>
        <v>6.6293194484596727E-4</v>
      </c>
      <c r="P25" s="51">
        <f t="shared" ref="P25:X25" si="12">$J$25/10</f>
        <v>6.6293194484596727E-4</v>
      </c>
      <c r="Q25" s="51">
        <f t="shared" si="12"/>
        <v>6.6293194484596727E-4</v>
      </c>
      <c r="R25" s="51">
        <f t="shared" si="12"/>
        <v>6.6293194484596727E-4</v>
      </c>
      <c r="S25" s="51">
        <f t="shared" si="12"/>
        <v>6.6293194484596727E-4</v>
      </c>
      <c r="T25" s="51">
        <f t="shared" si="12"/>
        <v>6.6293194484596727E-4</v>
      </c>
      <c r="U25" s="51">
        <f t="shared" si="12"/>
        <v>6.6293194484596727E-4</v>
      </c>
      <c r="V25" s="51">
        <f t="shared" si="12"/>
        <v>6.6293194484596727E-4</v>
      </c>
      <c r="W25" s="51">
        <f t="shared" si="12"/>
        <v>6.6293194484596727E-4</v>
      </c>
      <c r="X25" s="51">
        <f t="shared" si="12"/>
        <v>6.6293194484596727E-4</v>
      </c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28"/>
      <c r="AK25" s="28"/>
      <c r="AL25" s="28"/>
      <c r="AM25" s="28"/>
      <c r="AN25" s="28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47"/>
      <c r="BF25" s="47"/>
    </row>
    <row r="26" spans="1:58" x14ac:dyDescent="0.3">
      <c r="A26" s="17">
        <v>16</v>
      </c>
      <c r="B26" s="55">
        <v>12</v>
      </c>
      <c r="C26" s="99" t="s">
        <v>30</v>
      </c>
      <c r="D26" s="99"/>
      <c r="E26" s="100"/>
      <c r="F26" s="42">
        <v>302.11</v>
      </c>
      <c r="G26" s="56" t="s">
        <v>22</v>
      </c>
      <c r="H26" s="44">
        <v>132617.85</v>
      </c>
      <c r="I26" s="44">
        <f t="shared" si="9"/>
        <v>40065178.663500004</v>
      </c>
      <c r="J26" s="39">
        <f t="shared" si="10"/>
        <v>6.0587989999365453E-2</v>
      </c>
      <c r="K26" s="41"/>
      <c r="L26" s="41"/>
      <c r="M26" s="41"/>
      <c r="N26" s="41"/>
      <c r="O26" s="41"/>
      <c r="P26" s="41"/>
      <c r="Q26" s="51">
        <f t="shared" ref="Q26:W26" si="13">$J$26/8</f>
        <v>7.5734987499206817E-3</v>
      </c>
      <c r="R26" s="51">
        <f t="shared" si="13"/>
        <v>7.5734987499206817E-3</v>
      </c>
      <c r="S26" s="51">
        <f t="shared" si="13"/>
        <v>7.5734987499206817E-3</v>
      </c>
      <c r="T26" s="51">
        <f t="shared" si="13"/>
        <v>7.5734987499206817E-3</v>
      </c>
      <c r="U26" s="51">
        <f t="shared" si="13"/>
        <v>7.5734987499206817E-3</v>
      </c>
      <c r="V26" s="51">
        <f t="shared" si="13"/>
        <v>7.5734987499206817E-3</v>
      </c>
      <c r="W26" s="51">
        <f t="shared" si="13"/>
        <v>7.5734987499206817E-3</v>
      </c>
      <c r="X26" s="51">
        <f>$J$26/8</f>
        <v>7.5734987499206817E-3</v>
      </c>
      <c r="Y26" s="41"/>
      <c r="Z26" s="41"/>
      <c r="AA26" s="41"/>
      <c r="AB26" s="41"/>
      <c r="AC26" s="41"/>
      <c r="AD26" s="41"/>
      <c r="AE26" s="41"/>
      <c r="AF26" s="58"/>
      <c r="AG26" s="58"/>
      <c r="AH26" s="58"/>
      <c r="AI26" s="58"/>
      <c r="AJ26" s="65"/>
      <c r="AK26" s="65"/>
      <c r="AL26" s="65"/>
      <c r="AM26" s="65"/>
      <c r="AN26" s="28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47"/>
      <c r="BF26" s="47"/>
    </row>
    <row r="27" spans="1:58" x14ac:dyDescent="0.3">
      <c r="A27" s="17">
        <v>17</v>
      </c>
      <c r="B27" s="55">
        <v>13</v>
      </c>
      <c r="C27" s="100" t="s">
        <v>31</v>
      </c>
      <c r="D27" s="103"/>
      <c r="E27" s="103"/>
      <c r="F27" s="42">
        <v>62412</v>
      </c>
      <c r="G27" s="56" t="s">
        <v>22</v>
      </c>
      <c r="H27" s="44">
        <v>41678.81</v>
      </c>
      <c r="I27" s="44">
        <f t="shared" si="9"/>
        <v>2601257889.7199998</v>
      </c>
      <c r="J27" s="39">
        <f t="shared" si="10"/>
        <v>3.9337148183419037</v>
      </c>
      <c r="K27" s="41"/>
      <c r="L27" s="41"/>
      <c r="M27" s="41"/>
      <c r="N27" s="41"/>
      <c r="O27" s="41"/>
      <c r="P27" s="41"/>
      <c r="Q27" s="51">
        <f>$J$27/24</f>
        <v>0.16390478409757933</v>
      </c>
      <c r="R27" s="51">
        <f t="shared" ref="R27:AN27" si="14">$J$27/24</f>
        <v>0.16390478409757933</v>
      </c>
      <c r="S27" s="51">
        <f t="shared" si="14"/>
        <v>0.16390478409757933</v>
      </c>
      <c r="T27" s="51">
        <f t="shared" si="14"/>
        <v>0.16390478409757933</v>
      </c>
      <c r="U27" s="51">
        <f t="shared" si="14"/>
        <v>0.16390478409757933</v>
      </c>
      <c r="V27" s="51">
        <f t="shared" si="14"/>
        <v>0.16390478409757933</v>
      </c>
      <c r="W27" s="51">
        <f t="shared" si="14"/>
        <v>0.16390478409757933</v>
      </c>
      <c r="X27" s="51">
        <f t="shared" si="14"/>
        <v>0.16390478409757933</v>
      </c>
      <c r="Y27" s="51">
        <f t="shared" si="14"/>
        <v>0.16390478409757933</v>
      </c>
      <c r="Z27" s="51">
        <f t="shared" si="14"/>
        <v>0.16390478409757933</v>
      </c>
      <c r="AA27" s="51">
        <f t="shared" si="14"/>
        <v>0.16390478409757933</v>
      </c>
      <c r="AB27" s="51">
        <f t="shared" si="14"/>
        <v>0.16390478409757933</v>
      </c>
      <c r="AC27" s="51">
        <f>$J$27/24</f>
        <v>0.16390478409757933</v>
      </c>
      <c r="AD27" s="51">
        <f t="shared" si="14"/>
        <v>0.16390478409757933</v>
      </c>
      <c r="AE27" s="51">
        <f t="shared" si="14"/>
        <v>0.16390478409757933</v>
      </c>
      <c r="AF27" s="51">
        <f t="shared" si="14"/>
        <v>0.16390478409757933</v>
      </c>
      <c r="AG27" s="51">
        <f t="shared" si="14"/>
        <v>0.16390478409757933</v>
      </c>
      <c r="AH27" s="51">
        <f t="shared" si="14"/>
        <v>0.16390478409757933</v>
      </c>
      <c r="AI27" s="51">
        <f t="shared" si="14"/>
        <v>0.16390478409757933</v>
      </c>
      <c r="AJ27" s="51">
        <f t="shared" si="14"/>
        <v>0.16390478409757933</v>
      </c>
      <c r="AK27" s="51">
        <f t="shared" si="14"/>
        <v>0.16390478409757933</v>
      </c>
      <c r="AL27" s="51">
        <f t="shared" si="14"/>
        <v>0.16390478409757933</v>
      </c>
      <c r="AM27" s="51">
        <f t="shared" si="14"/>
        <v>0.16390478409757933</v>
      </c>
      <c r="AN27" s="51">
        <f t="shared" si="14"/>
        <v>0.16390478409757933</v>
      </c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47"/>
      <c r="BF27" s="47"/>
    </row>
    <row r="28" spans="1:58" x14ac:dyDescent="0.3">
      <c r="A28" s="17">
        <v>18</v>
      </c>
      <c r="B28" s="55">
        <v>14</v>
      </c>
      <c r="C28" s="100" t="s">
        <v>32</v>
      </c>
      <c r="D28" s="103"/>
      <c r="E28" s="103"/>
      <c r="F28" s="42">
        <v>32664.9</v>
      </c>
      <c r="G28" s="56" t="s">
        <v>22</v>
      </c>
      <c r="H28" s="44">
        <v>83487.58</v>
      </c>
      <c r="I28" s="44">
        <f t="shared" si="9"/>
        <v>2727113451.9420004</v>
      </c>
      <c r="J28" s="39">
        <f t="shared" si="10"/>
        <v>4.1240380815754181</v>
      </c>
      <c r="K28" s="41"/>
      <c r="L28" s="41"/>
      <c r="M28" s="41"/>
      <c r="N28" s="41"/>
      <c r="O28" s="41"/>
      <c r="P28" s="41"/>
      <c r="Q28" s="41"/>
      <c r="R28" s="41"/>
      <c r="S28" s="66">
        <f t="shared" ref="S28:AO28" si="15">$J$28/24</f>
        <v>0.17183492006564241</v>
      </c>
      <c r="T28" s="66">
        <f t="shared" si="15"/>
        <v>0.17183492006564241</v>
      </c>
      <c r="U28" s="66">
        <f t="shared" si="15"/>
        <v>0.17183492006564241</v>
      </c>
      <c r="V28" s="66">
        <f t="shared" si="15"/>
        <v>0.17183492006564241</v>
      </c>
      <c r="W28" s="66">
        <f t="shared" si="15"/>
        <v>0.17183492006564241</v>
      </c>
      <c r="X28" s="66">
        <f t="shared" si="15"/>
        <v>0.17183492006564241</v>
      </c>
      <c r="Y28" s="66">
        <f t="shared" si="15"/>
        <v>0.17183492006564241</v>
      </c>
      <c r="Z28" s="66">
        <f t="shared" si="15"/>
        <v>0.17183492006564241</v>
      </c>
      <c r="AA28" s="66">
        <f t="shared" si="15"/>
        <v>0.17183492006564241</v>
      </c>
      <c r="AB28" s="66">
        <f t="shared" si="15"/>
        <v>0.17183492006564241</v>
      </c>
      <c r="AC28" s="66">
        <f t="shared" si="15"/>
        <v>0.17183492006564241</v>
      </c>
      <c r="AD28" s="66">
        <f t="shared" si="15"/>
        <v>0.17183492006564241</v>
      </c>
      <c r="AE28" s="66">
        <f t="shared" si="15"/>
        <v>0.17183492006564241</v>
      </c>
      <c r="AF28" s="66">
        <f t="shared" si="15"/>
        <v>0.17183492006564241</v>
      </c>
      <c r="AG28" s="66">
        <f t="shared" si="15"/>
        <v>0.17183492006564241</v>
      </c>
      <c r="AH28" s="66">
        <f t="shared" si="15"/>
        <v>0.17183492006564241</v>
      </c>
      <c r="AI28" s="66">
        <f t="shared" si="15"/>
        <v>0.17183492006564241</v>
      </c>
      <c r="AJ28" s="66">
        <f t="shared" si="15"/>
        <v>0.17183492006564241</v>
      </c>
      <c r="AK28" s="66">
        <f t="shared" si="15"/>
        <v>0.17183492006564241</v>
      </c>
      <c r="AL28" s="66">
        <f t="shared" si="15"/>
        <v>0.17183492006564241</v>
      </c>
      <c r="AM28" s="66">
        <f t="shared" si="15"/>
        <v>0.17183492006564241</v>
      </c>
      <c r="AN28" s="66">
        <f t="shared" si="15"/>
        <v>0.17183492006564241</v>
      </c>
      <c r="AO28" s="66">
        <f t="shared" si="15"/>
        <v>0.17183492006564241</v>
      </c>
      <c r="AP28" s="66">
        <f>$J$28/24</f>
        <v>0.17183492006564241</v>
      </c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47"/>
      <c r="BF28" s="47"/>
    </row>
    <row r="29" spans="1:58" x14ac:dyDescent="0.3">
      <c r="A29" s="17">
        <v>19</v>
      </c>
      <c r="B29" s="55">
        <v>15</v>
      </c>
      <c r="C29" s="100" t="s">
        <v>33</v>
      </c>
      <c r="D29" s="103"/>
      <c r="E29" s="103"/>
      <c r="F29" s="42">
        <v>3600.82</v>
      </c>
      <c r="G29" s="56" t="s">
        <v>34</v>
      </c>
      <c r="H29" s="44">
        <v>34143.129999999997</v>
      </c>
      <c r="I29" s="44">
        <f t="shared" si="9"/>
        <v>122943265.36659999</v>
      </c>
      <c r="J29" s="39">
        <f t="shared" si="10"/>
        <v>0.18591918421436976</v>
      </c>
      <c r="K29" s="41"/>
      <c r="L29" s="41"/>
      <c r="M29" s="51">
        <f>$J$29/4</f>
        <v>4.647979605359244E-2</v>
      </c>
      <c r="N29" s="51">
        <f t="shared" ref="N29:P29" si="16">$J$29/4</f>
        <v>4.647979605359244E-2</v>
      </c>
      <c r="O29" s="51">
        <f t="shared" si="16"/>
        <v>4.647979605359244E-2</v>
      </c>
      <c r="P29" s="51">
        <f t="shared" si="16"/>
        <v>4.647979605359244E-2</v>
      </c>
      <c r="Q29" s="41"/>
      <c r="R29" s="41"/>
      <c r="S29" s="41"/>
      <c r="T29" s="41"/>
      <c r="U29" s="41"/>
      <c r="V29" s="41"/>
      <c r="W29" s="41"/>
      <c r="X29" s="57"/>
      <c r="Y29" s="57"/>
      <c r="Z29" s="57"/>
      <c r="AA29" s="41"/>
      <c r="AB29" s="41"/>
      <c r="AC29" s="41"/>
      <c r="AD29" s="41"/>
      <c r="AE29" s="41"/>
      <c r="AF29" s="41"/>
      <c r="AG29" s="41"/>
      <c r="AH29" s="41"/>
      <c r="AI29" s="41"/>
      <c r="AJ29" s="28"/>
      <c r="AK29" s="28"/>
      <c r="AL29" s="28"/>
      <c r="AM29" s="28"/>
      <c r="AN29" s="28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47"/>
      <c r="BF29" s="47"/>
    </row>
    <row r="30" spans="1:58" x14ac:dyDescent="0.3">
      <c r="B30" s="55"/>
      <c r="C30" s="100"/>
      <c r="D30" s="103"/>
      <c r="E30" s="103"/>
      <c r="F30" s="42"/>
      <c r="G30" s="56"/>
      <c r="H30" s="44"/>
      <c r="I30" s="63"/>
      <c r="J30" s="39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57"/>
      <c r="Y30" s="57"/>
      <c r="Z30" s="57"/>
      <c r="AA30" s="41"/>
      <c r="AB30" s="41"/>
      <c r="AC30" s="41"/>
      <c r="AD30" s="41"/>
      <c r="AE30" s="41"/>
      <c r="AF30" s="41"/>
      <c r="AG30" s="41"/>
      <c r="AH30" s="41"/>
      <c r="AI30" s="41"/>
      <c r="AJ30" s="28"/>
      <c r="AK30" s="28"/>
      <c r="AL30" s="28"/>
      <c r="AM30" s="28"/>
      <c r="AN30" s="28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47"/>
      <c r="BF30" s="47"/>
    </row>
    <row r="31" spans="1:58" x14ac:dyDescent="0.3">
      <c r="A31" s="17">
        <v>20</v>
      </c>
      <c r="B31" s="52" t="s">
        <v>35</v>
      </c>
      <c r="C31" s="67" t="s">
        <v>36</v>
      </c>
      <c r="D31" s="67"/>
      <c r="E31" s="68"/>
      <c r="F31" s="42"/>
      <c r="G31" s="64"/>
      <c r="H31" s="54"/>
      <c r="I31" s="54"/>
      <c r="J31" s="39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28"/>
      <c r="AK31" s="28"/>
      <c r="AL31" s="28"/>
      <c r="AM31" s="28"/>
      <c r="AN31" s="28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47"/>
      <c r="BF31" s="47"/>
    </row>
    <row r="32" spans="1:58" x14ac:dyDescent="0.3">
      <c r="A32" s="17">
        <v>21</v>
      </c>
      <c r="B32" s="55">
        <v>16</v>
      </c>
      <c r="C32" s="99" t="s">
        <v>37</v>
      </c>
      <c r="D32" s="99"/>
      <c r="E32" s="100"/>
      <c r="F32" s="42">
        <v>2704</v>
      </c>
      <c r="G32" s="56" t="s">
        <v>22</v>
      </c>
      <c r="H32" s="44">
        <v>424071.91190485103</v>
      </c>
      <c r="I32" s="44">
        <f>H32*F32</f>
        <v>1146690449.7907171</v>
      </c>
      <c r="J32" s="39">
        <f>(I32/$I$65)*100</f>
        <v>1.7340661347800566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66">
        <f t="shared" ref="W32:AI32" si="17">$J$32/14</f>
        <v>0.12386186677000403</v>
      </c>
      <c r="X32" s="66">
        <f t="shared" si="17"/>
        <v>0.12386186677000403</v>
      </c>
      <c r="Y32" s="66">
        <f t="shared" si="17"/>
        <v>0.12386186677000403</v>
      </c>
      <c r="Z32" s="66">
        <f t="shared" si="17"/>
        <v>0.12386186677000403</v>
      </c>
      <c r="AA32" s="66">
        <f t="shared" si="17"/>
        <v>0.12386186677000403</v>
      </c>
      <c r="AB32" s="66">
        <f t="shared" si="17"/>
        <v>0.12386186677000403</v>
      </c>
      <c r="AC32" s="66">
        <f t="shared" si="17"/>
        <v>0.12386186677000403</v>
      </c>
      <c r="AD32" s="66">
        <f t="shared" si="17"/>
        <v>0.12386186677000403</v>
      </c>
      <c r="AE32" s="66">
        <f t="shared" si="17"/>
        <v>0.12386186677000403</v>
      </c>
      <c r="AF32" s="66">
        <f t="shared" si="17"/>
        <v>0.12386186677000403</v>
      </c>
      <c r="AG32" s="66">
        <f t="shared" si="17"/>
        <v>0.12386186677000403</v>
      </c>
      <c r="AH32" s="66">
        <f t="shared" si="17"/>
        <v>0.12386186677000403</v>
      </c>
      <c r="AI32" s="66">
        <f t="shared" si="17"/>
        <v>0.12386186677000403</v>
      </c>
      <c r="AJ32" s="66">
        <f>$J$32/14</f>
        <v>0.12386186677000403</v>
      </c>
      <c r="AK32" s="33"/>
      <c r="AL32" s="41"/>
      <c r="AM32" s="41"/>
      <c r="AN32" s="41"/>
      <c r="AO32" s="41"/>
      <c r="AP32" s="41"/>
      <c r="AQ32" s="41"/>
      <c r="AR32" s="41"/>
      <c r="AS32" s="33"/>
      <c r="AT32" s="57"/>
      <c r="AU32" s="41"/>
      <c r="AV32" s="41"/>
      <c r="AW32" s="28"/>
      <c r="AX32" s="28"/>
      <c r="AY32" s="33"/>
      <c r="AZ32" s="33"/>
      <c r="BA32" s="33"/>
      <c r="BB32" s="33"/>
      <c r="BC32" s="33"/>
      <c r="BD32" s="33"/>
      <c r="BE32" s="47"/>
      <c r="BF32" s="47"/>
    </row>
    <row r="33" spans="1:58" x14ac:dyDescent="0.3">
      <c r="A33" s="17">
        <v>22</v>
      </c>
      <c r="B33" s="55">
        <v>17</v>
      </c>
      <c r="C33" s="69" t="s">
        <v>38</v>
      </c>
      <c r="D33" s="69"/>
      <c r="E33" s="70"/>
      <c r="F33" s="42">
        <v>5408</v>
      </c>
      <c r="G33" s="56" t="s">
        <v>22</v>
      </c>
      <c r="H33" s="44">
        <v>410738.08</v>
      </c>
      <c r="I33" s="44">
        <f>H33*F33</f>
        <v>2221271536.6399999</v>
      </c>
      <c r="J33" s="39">
        <f>(I33/$I$65)*100</f>
        <v>3.3590859229195469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66">
        <f>$J$33/14</f>
        <v>0.23993470877996764</v>
      </c>
      <c r="AP33" s="66">
        <f t="shared" ref="AP33:BB33" si="18">$J$33/14</f>
        <v>0.23993470877996764</v>
      </c>
      <c r="AQ33" s="66">
        <f t="shared" si="18"/>
        <v>0.23993470877996764</v>
      </c>
      <c r="AR33" s="66">
        <f t="shared" si="18"/>
        <v>0.23993470877996764</v>
      </c>
      <c r="AS33" s="66">
        <f t="shared" si="18"/>
        <v>0.23993470877996764</v>
      </c>
      <c r="AT33" s="66">
        <f t="shared" si="18"/>
        <v>0.23993470877996764</v>
      </c>
      <c r="AU33" s="66">
        <f t="shared" si="18"/>
        <v>0.23993470877996764</v>
      </c>
      <c r="AV33" s="66">
        <f t="shared" si="18"/>
        <v>0.23993470877996764</v>
      </c>
      <c r="AW33" s="66">
        <f t="shared" si="18"/>
        <v>0.23993470877996764</v>
      </c>
      <c r="AX33" s="66">
        <f t="shared" si="18"/>
        <v>0.23993470877996764</v>
      </c>
      <c r="AY33" s="66">
        <f t="shared" si="18"/>
        <v>0.23993470877996764</v>
      </c>
      <c r="AZ33" s="66">
        <f t="shared" si="18"/>
        <v>0.23993470877996764</v>
      </c>
      <c r="BA33" s="66">
        <f t="shared" si="18"/>
        <v>0.23993470877996764</v>
      </c>
      <c r="BB33" s="66">
        <f t="shared" si="18"/>
        <v>0.23993470877996764</v>
      </c>
      <c r="BC33" s="33"/>
      <c r="BD33" s="33"/>
      <c r="BE33" s="47"/>
      <c r="BF33" s="47"/>
    </row>
    <row r="34" spans="1:58" x14ac:dyDescent="0.3">
      <c r="B34" s="55"/>
      <c r="C34" s="104"/>
      <c r="D34" s="104"/>
      <c r="E34" s="105"/>
      <c r="F34" s="42"/>
      <c r="G34" s="56"/>
      <c r="H34" s="44"/>
      <c r="I34" s="63"/>
      <c r="J34" s="3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41"/>
      <c r="AP34" s="41"/>
      <c r="AQ34" s="41"/>
      <c r="AR34" s="41"/>
      <c r="AS34" s="41"/>
      <c r="AT34" s="41"/>
      <c r="AU34" s="41"/>
      <c r="AV34" s="41"/>
      <c r="AW34" s="28"/>
      <c r="AX34" s="28"/>
      <c r="AY34" s="33"/>
      <c r="AZ34" s="33"/>
      <c r="BA34" s="33"/>
      <c r="BB34" s="33"/>
      <c r="BC34" s="33"/>
      <c r="BD34" s="33"/>
      <c r="BE34" s="47"/>
      <c r="BF34" s="47"/>
    </row>
    <row r="35" spans="1:58" x14ac:dyDescent="0.3">
      <c r="A35" s="17">
        <v>23</v>
      </c>
      <c r="B35" s="52" t="s">
        <v>39</v>
      </c>
      <c r="C35" s="67" t="s">
        <v>40</v>
      </c>
      <c r="D35" s="67"/>
      <c r="E35" s="68"/>
      <c r="F35" s="42"/>
      <c r="G35" s="64"/>
      <c r="H35" s="54"/>
      <c r="I35" s="54"/>
      <c r="J35" s="39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28"/>
      <c r="AX35" s="28"/>
      <c r="AY35" s="33"/>
      <c r="AZ35" s="33"/>
      <c r="BA35" s="33"/>
      <c r="BB35" s="33"/>
      <c r="BC35" s="33"/>
      <c r="BD35" s="33"/>
      <c r="BE35" s="47"/>
      <c r="BF35" s="47"/>
    </row>
    <row r="36" spans="1:58" ht="15.75" customHeight="1" x14ac:dyDescent="0.3">
      <c r="A36" s="17">
        <v>24</v>
      </c>
      <c r="B36" s="55">
        <v>18</v>
      </c>
      <c r="C36" s="99" t="s">
        <v>37</v>
      </c>
      <c r="D36" s="99"/>
      <c r="E36" s="100"/>
      <c r="F36" s="42">
        <v>19604</v>
      </c>
      <c r="G36" s="56" t="s">
        <v>22</v>
      </c>
      <c r="H36" s="44">
        <v>421092.88</v>
      </c>
      <c r="I36" s="71">
        <f>H36*F36</f>
        <v>8255104819.5200005</v>
      </c>
      <c r="J36" s="39">
        <f>(I36/$I$65)*100</f>
        <v>12.483663493667258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51">
        <f>$J$36/20</f>
        <v>0.62418317468336293</v>
      </c>
      <c r="X36" s="51">
        <f t="shared" ref="X36:AP36" si="19">$J$36/20</f>
        <v>0.62418317468336293</v>
      </c>
      <c r="Y36" s="51">
        <f t="shared" si="19"/>
        <v>0.62418317468336293</v>
      </c>
      <c r="Z36" s="51">
        <f t="shared" si="19"/>
        <v>0.62418317468336293</v>
      </c>
      <c r="AA36" s="51">
        <f t="shared" si="19"/>
        <v>0.62418317468336293</v>
      </c>
      <c r="AB36" s="51">
        <f t="shared" si="19"/>
        <v>0.62418317468336293</v>
      </c>
      <c r="AC36" s="51">
        <f t="shared" si="19"/>
        <v>0.62418317468336293</v>
      </c>
      <c r="AD36" s="51">
        <f t="shared" si="19"/>
        <v>0.62418317468336293</v>
      </c>
      <c r="AE36" s="51">
        <f t="shared" si="19"/>
        <v>0.62418317468336293</v>
      </c>
      <c r="AF36" s="51">
        <f t="shared" si="19"/>
        <v>0.62418317468336293</v>
      </c>
      <c r="AG36" s="51">
        <f t="shared" si="19"/>
        <v>0.62418317468336293</v>
      </c>
      <c r="AH36" s="51">
        <f t="shared" si="19"/>
        <v>0.62418317468336293</v>
      </c>
      <c r="AI36" s="51">
        <f t="shared" si="19"/>
        <v>0.62418317468336293</v>
      </c>
      <c r="AJ36" s="51">
        <f t="shared" si="19"/>
        <v>0.62418317468336293</v>
      </c>
      <c r="AK36" s="51">
        <f t="shared" si="19"/>
        <v>0.62418317468336293</v>
      </c>
      <c r="AL36" s="51">
        <f t="shared" si="19"/>
        <v>0.62418317468336293</v>
      </c>
      <c r="AM36" s="51">
        <f t="shared" si="19"/>
        <v>0.62418317468336293</v>
      </c>
      <c r="AN36" s="51">
        <f t="shared" si="19"/>
        <v>0.62418317468336293</v>
      </c>
      <c r="AO36" s="51">
        <f t="shared" si="19"/>
        <v>0.62418317468336293</v>
      </c>
      <c r="AP36" s="51">
        <f t="shared" si="19"/>
        <v>0.62418317468336293</v>
      </c>
      <c r="AS36" s="41"/>
      <c r="AT36" s="41"/>
      <c r="AU36" s="41"/>
      <c r="AV36" s="41"/>
      <c r="AW36" s="41"/>
      <c r="AX36" s="33"/>
      <c r="AY36" s="57"/>
      <c r="AZ36" s="41"/>
      <c r="BA36" s="72"/>
      <c r="BB36" s="28"/>
      <c r="BC36" s="33"/>
      <c r="BD36" s="33"/>
      <c r="BE36" s="47"/>
      <c r="BF36" s="47"/>
    </row>
    <row r="37" spans="1:58" ht="15.75" customHeight="1" x14ac:dyDescent="0.3">
      <c r="A37" s="17">
        <v>25</v>
      </c>
      <c r="B37" s="55">
        <v>19</v>
      </c>
      <c r="C37" s="100" t="s">
        <v>41</v>
      </c>
      <c r="D37" s="103"/>
      <c r="E37" s="103"/>
      <c r="F37" s="42">
        <v>34307</v>
      </c>
      <c r="G37" s="56" t="s">
        <v>22</v>
      </c>
      <c r="H37" s="44">
        <v>408127.64</v>
      </c>
      <c r="I37" s="71">
        <f>H37*F37</f>
        <v>14001634945.48</v>
      </c>
      <c r="J37" s="39">
        <f>(I37/$I$65)*100</f>
        <v>21.173770998913593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51">
        <f>$J$37/20</f>
        <v>1.0586885499456797</v>
      </c>
      <c r="Z37" s="51">
        <f t="shared" ref="Z37:AR37" si="20">$J$37/20</f>
        <v>1.0586885499456797</v>
      </c>
      <c r="AA37" s="51">
        <f t="shared" si="20"/>
        <v>1.0586885499456797</v>
      </c>
      <c r="AB37" s="51">
        <f t="shared" si="20"/>
        <v>1.0586885499456797</v>
      </c>
      <c r="AC37" s="51">
        <f t="shared" si="20"/>
        <v>1.0586885499456797</v>
      </c>
      <c r="AD37" s="51">
        <f t="shared" si="20"/>
        <v>1.0586885499456797</v>
      </c>
      <c r="AE37" s="51">
        <f t="shared" si="20"/>
        <v>1.0586885499456797</v>
      </c>
      <c r="AF37" s="51">
        <f t="shared" si="20"/>
        <v>1.0586885499456797</v>
      </c>
      <c r="AG37" s="51">
        <f t="shared" si="20"/>
        <v>1.0586885499456797</v>
      </c>
      <c r="AH37" s="51">
        <f t="shared" si="20"/>
        <v>1.0586885499456797</v>
      </c>
      <c r="AI37" s="51">
        <f t="shared" si="20"/>
        <v>1.0586885499456797</v>
      </c>
      <c r="AJ37" s="51">
        <f t="shared" si="20"/>
        <v>1.0586885499456797</v>
      </c>
      <c r="AK37" s="51">
        <f t="shared" si="20"/>
        <v>1.0586885499456797</v>
      </c>
      <c r="AL37" s="51">
        <f t="shared" si="20"/>
        <v>1.0586885499456797</v>
      </c>
      <c r="AM37" s="51">
        <f t="shared" si="20"/>
        <v>1.0586885499456797</v>
      </c>
      <c r="AN37" s="51">
        <f t="shared" si="20"/>
        <v>1.0586885499456797</v>
      </c>
      <c r="AO37" s="51">
        <f t="shared" si="20"/>
        <v>1.0586885499456797</v>
      </c>
      <c r="AP37" s="51">
        <f t="shared" si="20"/>
        <v>1.0586885499456797</v>
      </c>
      <c r="AQ37" s="51">
        <f t="shared" si="20"/>
        <v>1.0586885499456797</v>
      </c>
      <c r="AR37" s="51">
        <f t="shared" si="20"/>
        <v>1.0586885499456797</v>
      </c>
      <c r="AU37" s="41"/>
      <c r="AV37" s="41"/>
      <c r="AW37" s="41"/>
      <c r="AX37" s="33"/>
      <c r="AY37" s="33"/>
      <c r="AZ37" s="33"/>
      <c r="BA37" s="28"/>
      <c r="BB37" s="28"/>
      <c r="BC37" s="33"/>
      <c r="BD37" s="33"/>
      <c r="BE37" s="47"/>
      <c r="BF37" s="47"/>
    </row>
    <row r="38" spans="1:58" ht="15.75" customHeight="1" x14ac:dyDescent="0.3">
      <c r="B38" s="55"/>
      <c r="C38" s="100"/>
      <c r="D38" s="103"/>
      <c r="E38" s="103"/>
      <c r="F38" s="42"/>
      <c r="G38" s="56"/>
      <c r="H38" s="44"/>
      <c r="I38" s="71"/>
      <c r="J38" s="39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41"/>
      <c r="AL38" s="41"/>
      <c r="AM38" s="41"/>
      <c r="AN38" s="41"/>
      <c r="AO38" s="41"/>
      <c r="AP38" s="41"/>
      <c r="AQ38" s="41"/>
      <c r="AR38" s="33"/>
      <c r="AS38" s="33"/>
      <c r="AT38" s="33"/>
      <c r="AU38" s="33"/>
      <c r="AV38" s="33"/>
      <c r="AW38" s="41"/>
      <c r="AX38" s="41"/>
      <c r="AY38" s="41"/>
      <c r="AZ38" s="41"/>
      <c r="BA38" s="28"/>
      <c r="BB38" s="28"/>
      <c r="BC38" s="33"/>
      <c r="BD38" s="33"/>
      <c r="BE38" s="47"/>
      <c r="BF38" s="47"/>
    </row>
    <row r="39" spans="1:58" ht="15.75" customHeight="1" x14ac:dyDescent="0.3">
      <c r="A39" s="17">
        <v>26</v>
      </c>
      <c r="B39" s="52" t="s">
        <v>42</v>
      </c>
      <c r="C39" s="102" t="s">
        <v>43</v>
      </c>
      <c r="D39" s="106"/>
      <c r="E39" s="106"/>
      <c r="F39" s="42"/>
      <c r="G39" s="64"/>
      <c r="H39" s="54"/>
      <c r="I39" s="73"/>
      <c r="J39" s="39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41"/>
      <c r="AL39" s="41"/>
      <c r="AM39" s="41"/>
      <c r="AN39" s="41"/>
      <c r="AO39" s="41"/>
      <c r="AP39" s="41"/>
      <c r="AQ39" s="41"/>
      <c r="AR39" s="33"/>
      <c r="AS39" s="33"/>
      <c r="AT39" s="33"/>
      <c r="AU39" s="33"/>
      <c r="AV39" s="33"/>
      <c r="AW39" s="41"/>
      <c r="AX39" s="41"/>
      <c r="AY39" s="41"/>
      <c r="AZ39" s="41"/>
      <c r="BA39" s="28"/>
      <c r="BB39" s="28"/>
      <c r="BC39" s="33"/>
      <c r="BD39" s="33"/>
      <c r="BE39" s="47"/>
      <c r="BF39" s="47"/>
    </row>
    <row r="40" spans="1:58" ht="15.75" customHeight="1" x14ac:dyDescent="0.3">
      <c r="A40" s="17">
        <v>27</v>
      </c>
      <c r="B40" s="55">
        <v>20</v>
      </c>
      <c r="C40" s="100" t="s">
        <v>44</v>
      </c>
      <c r="D40" s="103"/>
      <c r="E40" s="103"/>
      <c r="F40" s="42">
        <v>4907.3999999999996</v>
      </c>
      <c r="G40" s="56" t="s">
        <v>45</v>
      </c>
      <c r="H40" s="44">
        <v>13804.4</v>
      </c>
      <c r="I40" s="71">
        <f>H40*F40</f>
        <v>67743712.559999987</v>
      </c>
      <c r="J40" s="39">
        <f>(I40/$I$65)*100</f>
        <v>0.1024444546616833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33"/>
      <c r="Z40" s="33"/>
      <c r="AA40" s="33"/>
      <c r="AB40" s="33"/>
      <c r="AC40" s="33"/>
      <c r="AD40" s="33"/>
      <c r="AE40" s="33"/>
      <c r="AF40" s="33"/>
      <c r="AG40" s="51">
        <f t="shared" ref="AG40:AQ40" si="21">$J$40/12</f>
        <v>8.537037888473608E-3</v>
      </c>
      <c r="AH40" s="51">
        <f t="shared" si="21"/>
        <v>8.537037888473608E-3</v>
      </c>
      <c r="AI40" s="51">
        <f t="shared" si="21"/>
        <v>8.537037888473608E-3</v>
      </c>
      <c r="AJ40" s="51">
        <f t="shared" si="21"/>
        <v>8.537037888473608E-3</v>
      </c>
      <c r="AK40" s="51">
        <f t="shared" si="21"/>
        <v>8.537037888473608E-3</v>
      </c>
      <c r="AL40" s="51">
        <f t="shared" si="21"/>
        <v>8.537037888473608E-3</v>
      </c>
      <c r="AM40" s="51">
        <f t="shared" si="21"/>
        <v>8.537037888473608E-3</v>
      </c>
      <c r="AN40" s="51">
        <f t="shared" si="21"/>
        <v>8.537037888473608E-3</v>
      </c>
      <c r="AO40" s="51">
        <f t="shared" si="21"/>
        <v>8.537037888473608E-3</v>
      </c>
      <c r="AP40" s="51">
        <f t="shared" si="21"/>
        <v>8.537037888473608E-3</v>
      </c>
      <c r="AQ40" s="51">
        <f t="shared" si="21"/>
        <v>8.537037888473608E-3</v>
      </c>
      <c r="AR40" s="51">
        <f>$J$40/12</f>
        <v>8.537037888473608E-3</v>
      </c>
      <c r="AS40" s="41"/>
      <c r="AT40" s="41"/>
      <c r="AU40" s="41"/>
      <c r="AV40" s="41"/>
      <c r="AW40" s="41"/>
      <c r="AX40" s="41"/>
      <c r="AY40" s="41"/>
      <c r="AZ40" s="41"/>
      <c r="BA40" s="28"/>
      <c r="BB40" s="28"/>
      <c r="BC40" s="33"/>
      <c r="BD40" s="33"/>
      <c r="BE40" s="47"/>
      <c r="BF40" s="47"/>
    </row>
    <row r="41" spans="1:58" ht="15.75" customHeight="1" x14ac:dyDescent="0.3">
      <c r="A41" s="17">
        <v>28</v>
      </c>
      <c r="B41" s="55">
        <v>21</v>
      </c>
      <c r="C41" s="100" t="s">
        <v>46</v>
      </c>
      <c r="D41" s="103"/>
      <c r="E41" s="103"/>
      <c r="F41" s="42">
        <v>5359</v>
      </c>
      <c r="G41" s="56" t="s">
        <v>45</v>
      </c>
      <c r="H41" s="44">
        <v>14070.73</v>
      </c>
      <c r="I41" s="71">
        <f t="shared" ref="I41:I44" si="22">H41*F41</f>
        <v>75405042.069999993</v>
      </c>
      <c r="J41" s="39">
        <f>(I41/$I$65)*100</f>
        <v>0.11403018998642311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51">
        <f>$J$41/14</f>
        <v>8.1450135704587943E-3</v>
      </c>
      <c r="AL41" s="51">
        <f t="shared" ref="AL41:AX41" si="23">$J$41/14</f>
        <v>8.1450135704587943E-3</v>
      </c>
      <c r="AM41" s="51">
        <f t="shared" si="23"/>
        <v>8.1450135704587943E-3</v>
      </c>
      <c r="AN41" s="51">
        <f t="shared" si="23"/>
        <v>8.1450135704587943E-3</v>
      </c>
      <c r="AO41" s="51">
        <f t="shared" si="23"/>
        <v>8.1450135704587943E-3</v>
      </c>
      <c r="AP41" s="51">
        <f t="shared" si="23"/>
        <v>8.1450135704587943E-3</v>
      </c>
      <c r="AQ41" s="51">
        <f t="shared" si="23"/>
        <v>8.1450135704587943E-3</v>
      </c>
      <c r="AR41" s="51">
        <f t="shared" si="23"/>
        <v>8.1450135704587943E-3</v>
      </c>
      <c r="AS41" s="51">
        <f t="shared" si="23"/>
        <v>8.1450135704587943E-3</v>
      </c>
      <c r="AT41" s="51">
        <f t="shared" si="23"/>
        <v>8.1450135704587943E-3</v>
      </c>
      <c r="AU41" s="51">
        <f t="shared" si="23"/>
        <v>8.1450135704587943E-3</v>
      </c>
      <c r="AV41" s="51">
        <f t="shared" si="23"/>
        <v>8.1450135704587943E-3</v>
      </c>
      <c r="AW41" s="51">
        <f t="shared" si="23"/>
        <v>8.1450135704587943E-3</v>
      </c>
      <c r="AX41" s="51">
        <f t="shared" si="23"/>
        <v>8.1450135704587943E-3</v>
      </c>
      <c r="AY41" s="41"/>
      <c r="AZ41" s="41"/>
      <c r="BA41" s="28"/>
      <c r="BB41" s="28"/>
      <c r="BC41" s="33"/>
      <c r="BD41" s="33"/>
      <c r="BE41" s="47"/>
      <c r="BF41" s="47"/>
    </row>
    <row r="42" spans="1:58" ht="15.75" customHeight="1" x14ac:dyDescent="0.3">
      <c r="A42" s="17">
        <v>29</v>
      </c>
      <c r="B42" s="55">
        <v>22</v>
      </c>
      <c r="C42" s="100" t="s">
        <v>47</v>
      </c>
      <c r="D42" s="103"/>
      <c r="E42" s="103"/>
      <c r="F42" s="42">
        <v>8188.3140000000003</v>
      </c>
      <c r="G42" s="56" t="s">
        <v>48</v>
      </c>
      <c r="H42" s="44">
        <v>1534374.8480120287</v>
      </c>
      <c r="I42" s="71">
        <f t="shared" si="22"/>
        <v>12563943049.224768</v>
      </c>
      <c r="J42" s="39">
        <f>(I42/$I$65)*100</f>
        <v>18.999642113477314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33"/>
      <c r="Z42" s="33"/>
      <c r="AA42" s="33"/>
      <c r="AB42" s="33"/>
      <c r="AC42" s="33"/>
      <c r="AD42" s="33"/>
      <c r="AE42" s="33"/>
      <c r="AF42" s="33"/>
      <c r="AG42" s="66">
        <f>$J$42/12</f>
        <v>1.5833035094564429</v>
      </c>
      <c r="AH42" s="66">
        <f t="shared" ref="AH42:AR42" si="24">$J$42/12</f>
        <v>1.5833035094564429</v>
      </c>
      <c r="AI42" s="66">
        <f t="shared" si="24"/>
        <v>1.5833035094564429</v>
      </c>
      <c r="AJ42" s="66">
        <f t="shared" si="24"/>
        <v>1.5833035094564429</v>
      </c>
      <c r="AK42" s="66">
        <f t="shared" si="24"/>
        <v>1.5833035094564429</v>
      </c>
      <c r="AL42" s="66">
        <f t="shared" si="24"/>
        <v>1.5833035094564429</v>
      </c>
      <c r="AM42" s="66">
        <f t="shared" si="24"/>
        <v>1.5833035094564429</v>
      </c>
      <c r="AN42" s="66">
        <f t="shared" si="24"/>
        <v>1.5833035094564429</v>
      </c>
      <c r="AO42" s="66">
        <f t="shared" si="24"/>
        <v>1.5833035094564429</v>
      </c>
      <c r="AP42" s="66">
        <f t="shared" si="24"/>
        <v>1.5833035094564429</v>
      </c>
      <c r="AQ42" s="66">
        <f t="shared" si="24"/>
        <v>1.5833035094564429</v>
      </c>
      <c r="AR42" s="66">
        <f t="shared" si="24"/>
        <v>1.5833035094564429</v>
      </c>
      <c r="AS42" s="41"/>
      <c r="AT42" s="41"/>
      <c r="AV42" s="41"/>
      <c r="AW42" s="41"/>
      <c r="AX42" s="41"/>
      <c r="AY42" s="57"/>
      <c r="AZ42" s="57"/>
      <c r="BA42" s="72"/>
      <c r="BB42" s="28"/>
      <c r="BC42" s="33"/>
      <c r="BD42" s="33"/>
      <c r="BE42" s="47"/>
      <c r="BF42" s="47"/>
    </row>
    <row r="43" spans="1:58" x14ac:dyDescent="0.3">
      <c r="A43" s="17">
        <v>30</v>
      </c>
      <c r="B43" s="55">
        <v>23</v>
      </c>
      <c r="C43" s="99" t="s">
        <v>49</v>
      </c>
      <c r="D43" s="99"/>
      <c r="E43" s="100"/>
      <c r="F43" s="42">
        <v>2005.308</v>
      </c>
      <c r="G43" s="56" t="s">
        <v>48</v>
      </c>
      <c r="H43" s="44">
        <v>1686817.0061028514</v>
      </c>
      <c r="I43" s="71">
        <f t="shared" si="22"/>
        <v>3382587636.8740969</v>
      </c>
      <c r="J43" s="39">
        <f>(I43/$I$65)*100</f>
        <v>5.1152694871572439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66">
        <f t="shared" ref="AK43:AU43" si="25">$J$43/12</f>
        <v>0.42627245726310364</v>
      </c>
      <c r="AL43" s="66">
        <f t="shared" si="25"/>
        <v>0.42627245726310364</v>
      </c>
      <c r="AM43" s="66">
        <f t="shared" si="25"/>
        <v>0.42627245726310364</v>
      </c>
      <c r="AN43" s="66">
        <f t="shared" si="25"/>
        <v>0.42627245726310364</v>
      </c>
      <c r="AO43" s="66">
        <f t="shared" si="25"/>
        <v>0.42627245726310364</v>
      </c>
      <c r="AP43" s="66">
        <f t="shared" si="25"/>
        <v>0.42627245726310364</v>
      </c>
      <c r="AQ43" s="66">
        <f t="shared" si="25"/>
        <v>0.42627245726310364</v>
      </c>
      <c r="AR43" s="66">
        <f t="shared" si="25"/>
        <v>0.42627245726310364</v>
      </c>
      <c r="AS43" s="66">
        <f t="shared" si="25"/>
        <v>0.42627245726310364</v>
      </c>
      <c r="AT43" s="66">
        <f t="shared" si="25"/>
        <v>0.42627245726310364</v>
      </c>
      <c r="AU43" s="66">
        <f t="shared" si="25"/>
        <v>0.42627245726310364</v>
      </c>
      <c r="AV43" s="66">
        <f>$J$43/12</f>
        <v>0.42627245726310364</v>
      </c>
      <c r="AW43" s="41"/>
      <c r="AX43" s="41"/>
      <c r="AY43" s="41"/>
      <c r="AZ43" s="41"/>
      <c r="BA43" s="28"/>
      <c r="BB43" s="28"/>
      <c r="BC43" s="33"/>
      <c r="BD43" s="33"/>
      <c r="BE43" s="47"/>
      <c r="BF43" s="47"/>
    </row>
    <row r="44" spans="1:58" x14ac:dyDescent="0.3">
      <c r="A44" s="17">
        <v>31</v>
      </c>
      <c r="B44" s="55">
        <v>24</v>
      </c>
      <c r="C44" s="100" t="s">
        <v>50</v>
      </c>
      <c r="D44" s="103"/>
      <c r="E44" s="103"/>
      <c r="F44" s="42">
        <v>1336.8720000000001</v>
      </c>
      <c r="G44" s="56" t="s">
        <v>48</v>
      </c>
      <c r="H44" s="44">
        <v>1774944.8892620285</v>
      </c>
      <c r="I44" s="71">
        <f t="shared" si="22"/>
        <v>2372874123.9975066</v>
      </c>
      <c r="J44" s="39">
        <f>(I44/$I$65)*100</f>
        <v>3.5883447544809917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41"/>
      <c r="AL44" s="41"/>
      <c r="AM44" s="41"/>
      <c r="AN44" s="33"/>
      <c r="AO44" s="33"/>
      <c r="AP44" s="33"/>
      <c r="AQ44" s="51">
        <f t="shared" ref="AQ44:AW44" si="26">$J$44/8</f>
        <v>0.44854309431012396</v>
      </c>
      <c r="AR44" s="51">
        <f t="shared" si="26"/>
        <v>0.44854309431012396</v>
      </c>
      <c r="AS44" s="51">
        <f t="shared" si="26"/>
        <v>0.44854309431012396</v>
      </c>
      <c r="AT44" s="51">
        <f t="shared" si="26"/>
        <v>0.44854309431012396</v>
      </c>
      <c r="AU44" s="51">
        <f t="shared" si="26"/>
        <v>0.44854309431012396</v>
      </c>
      <c r="AV44" s="51">
        <f t="shared" si="26"/>
        <v>0.44854309431012396</v>
      </c>
      <c r="AW44" s="51">
        <f t="shared" si="26"/>
        <v>0.44854309431012396</v>
      </c>
      <c r="AX44" s="51">
        <f>$J$44/8</f>
        <v>0.44854309431012396</v>
      </c>
      <c r="AY44" s="41"/>
      <c r="AZ44" s="41"/>
      <c r="BA44" s="28"/>
      <c r="BB44" s="28"/>
      <c r="BC44" s="33"/>
      <c r="BD44" s="33"/>
      <c r="BE44" s="47"/>
      <c r="BF44" s="47"/>
    </row>
    <row r="45" spans="1:58" x14ac:dyDescent="0.3">
      <c r="B45" s="55"/>
      <c r="C45" s="100"/>
      <c r="D45" s="103"/>
      <c r="E45" s="103"/>
      <c r="F45" s="42"/>
      <c r="G45" s="56"/>
      <c r="H45" s="44"/>
      <c r="I45" s="44"/>
      <c r="J45" s="39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41"/>
      <c r="AL45" s="41"/>
      <c r="AM45" s="41"/>
      <c r="AN45" s="41"/>
      <c r="AO45" s="41"/>
      <c r="AP45" s="41"/>
      <c r="AQ45" s="41"/>
      <c r="AR45" s="33"/>
      <c r="AS45" s="33"/>
      <c r="AT45" s="33"/>
      <c r="AU45" s="33"/>
      <c r="AV45" s="33"/>
      <c r="AW45" s="41"/>
      <c r="AX45" s="41"/>
      <c r="AY45" s="41"/>
      <c r="AZ45" s="41"/>
      <c r="BA45" s="28"/>
      <c r="BB45" s="28"/>
      <c r="BC45" s="33"/>
      <c r="BD45" s="33"/>
      <c r="BE45" s="47"/>
      <c r="BF45" s="47"/>
    </row>
    <row r="46" spans="1:58" x14ac:dyDescent="0.3">
      <c r="A46" s="17">
        <v>32</v>
      </c>
      <c r="B46" s="52" t="s">
        <v>51</v>
      </c>
      <c r="C46" s="101" t="s">
        <v>52</v>
      </c>
      <c r="D46" s="101"/>
      <c r="E46" s="102"/>
      <c r="F46" s="42"/>
      <c r="G46" s="64"/>
      <c r="H46" s="54"/>
      <c r="I46" s="54"/>
      <c r="J46" s="39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41"/>
      <c r="AL46" s="41"/>
      <c r="AM46" s="41"/>
      <c r="AN46" s="41"/>
      <c r="AO46" s="41"/>
      <c r="AP46" s="41"/>
      <c r="AQ46" s="41"/>
      <c r="AR46" s="33"/>
      <c r="AS46" s="33"/>
      <c r="AT46" s="33"/>
      <c r="AU46" s="33"/>
      <c r="AV46" s="33"/>
      <c r="AW46" s="41"/>
      <c r="AX46" s="41"/>
      <c r="AY46" s="33"/>
      <c r="AZ46" s="41"/>
      <c r="BA46" s="28"/>
      <c r="BB46" s="28"/>
      <c r="BC46" s="33"/>
      <c r="BD46" s="33"/>
      <c r="BE46" s="47"/>
      <c r="BF46" s="47"/>
    </row>
    <row r="47" spans="1:58" x14ac:dyDescent="0.3">
      <c r="A47" s="17">
        <v>33</v>
      </c>
      <c r="B47" s="55"/>
      <c r="C47" s="107" t="s">
        <v>53</v>
      </c>
      <c r="D47" s="107"/>
      <c r="E47" s="108"/>
      <c r="F47" s="42"/>
      <c r="G47" s="56"/>
      <c r="H47" s="44"/>
      <c r="I47" s="71"/>
      <c r="J47" s="39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57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41"/>
      <c r="AW47" s="41"/>
      <c r="AX47" s="41"/>
      <c r="AY47" s="41"/>
      <c r="AZ47" s="41"/>
      <c r="BA47" s="40"/>
      <c r="BB47" s="28"/>
      <c r="BC47" s="33"/>
      <c r="BD47" s="33"/>
      <c r="BE47" s="47"/>
      <c r="BF47" s="47"/>
    </row>
    <row r="48" spans="1:58" x14ac:dyDescent="0.3">
      <c r="A48" s="17">
        <v>34</v>
      </c>
      <c r="B48" s="55">
        <v>25</v>
      </c>
      <c r="C48" s="99" t="s">
        <v>54</v>
      </c>
      <c r="D48" s="99"/>
      <c r="E48" s="100"/>
      <c r="F48" s="42">
        <v>1125.5999999999999</v>
      </c>
      <c r="G48" s="56" t="s">
        <v>55</v>
      </c>
      <c r="H48" s="44">
        <v>32692</v>
      </c>
      <c r="I48" s="71">
        <f>H48*F48</f>
        <v>36798115.199999996</v>
      </c>
      <c r="J48" s="39">
        <f>(I48/$I$65)*100</f>
        <v>5.5647420281298487E-2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33"/>
      <c r="Z48" s="33"/>
      <c r="AA48" s="66">
        <f>$J$48/10</f>
        <v>5.5647420281298484E-3</v>
      </c>
      <c r="AB48" s="66">
        <f t="shared" ref="AB48:AJ48" si="27">$J$48/10</f>
        <v>5.5647420281298484E-3</v>
      </c>
      <c r="AC48" s="66">
        <f t="shared" si="27"/>
        <v>5.5647420281298484E-3</v>
      </c>
      <c r="AD48" s="66">
        <f t="shared" si="27"/>
        <v>5.5647420281298484E-3</v>
      </c>
      <c r="AE48" s="66">
        <f t="shared" si="27"/>
        <v>5.5647420281298484E-3</v>
      </c>
      <c r="AF48" s="66">
        <f t="shared" si="27"/>
        <v>5.5647420281298484E-3</v>
      </c>
      <c r="AG48" s="66">
        <f t="shared" si="27"/>
        <v>5.5647420281298484E-3</v>
      </c>
      <c r="AH48" s="66">
        <f t="shared" si="27"/>
        <v>5.5647420281298484E-3</v>
      </c>
      <c r="AI48" s="66">
        <f t="shared" si="27"/>
        <v>5.5647420281298484E-3</v>
      </c>
      <c r="AJ48" s="66">
        <f t="shared" si="27"/>
        <v>5.5647420281298484E-3</v>
      </c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41"/>
      <c r="AW48" s="41"/>
      <c r="AX48" s="41"/>
      <c r="AY48" s="41"/>
      <c r="AZ48" s="41"/>
      <c r="BA48" s="40"/>
      <c r="BB48" s="28"/>
      <c r="BC48" s="33"/>
      <c r="BD48" s="33"/>
      <c r="BE48" s="47"/>
      <c r="BF48" s="47"/>
    </row>
    <row r="49" spans="1:58" x14ac:dyDescent="0.3">
      <c r="A49" s="17">
        <v>35</v>
      </c>
      <c r="B49" s="55">
        <v>26</v>
      </c>
      <c r="C49" s="99" t="s">
        <v>56</v>
      </c>
      <c r="D49" s="99"/>
      <c r="E49" s="100"/>
      <c r="F49" s="42">
        <v>572.39</v>
      </c>
      <c r="G49" s="56" t="s">
        <v>22</v>
      </c>
      <c r="H49" s="44">
        <v>1178816.1173848382</v>
      </c>
      <c r="I49" s="71">
        <f>H49*F49</f>
        <v>674742557.42990756</v>
      </c>
      <c r="J49" s="39">
        <f>(I49/$I$65)*100</f>
        <v>1.0203697246694921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66">
        <f t="shared" ref="AK49:AO49" si="28">$J$49/6</f>
        <v>0.17006162077824868</v>
      </c>
      <c r="AL49" s="66">
        <f t="shared" si="28"/>
        <v>0.17006162077824868</v>
      </c>
      <c r="AM49" s="66">
        <f t="shared" si="28"/>
        <v>0.17006162077824868</v>
      </c>
      <c r="AN49" s="66">
        <f t="shared" si="28"/>
        <v>0.17006162077824868</v>
      </c>
      <c r="AO49" s="66">
        <f t="shared" si="28"/>
        <v>0.17006162077824868</v>
      </c>
      <c r="AP49" s="66">
        <f>$J$49/6</f>
        <v>0.17006162077824868</v>
      </c>
      <c r="AQ49" s="33"/>
      <c r="AR49" s="33"/>
      <c r="AS49" s="33"/>
      <c r="AT49" s="33"/>
      <c r="AU49" s="33"/>
      <c r="AV49" s="41"/>
      <c r="AW49" s="41"/>
      <c r="AX49" s="41"/>
      <c r="AY49" s="41"/>
      <c r="AZ49" s="41"/>
      <c r="BA49" s="40"/>
      <c r="BB49" s="28"/>
      <c r="BC49" s="33"/>
      <c r="BD49" s="33"/>
      <c r="BE49" s="47"/>
      <c r="BF49" s="47"/>
    </row>
    <row r="50" spans="1:58" x14ac:dyDescent="0.3">
      <c r="A50" s="17">
        <v>36</v>
      </c>
      <c r="B50" s="55">
        <v>27</v>
      </c>
      <c r="C50" s="99" t="s">
        <v>57</v>
      </c>
      <c r="D50" s="99"/>
      <c r="E50" s="100"/>
      <c r="F50" s="42">
        <v>3462.6</v>
      </c>
      <c r="G50" s="56" t="s">
        <v>22</v>
      </c>
      <c r="H50" s="44">
        <v>1036304.18</v>
      </c>
      <c r="I50" s="71">
        <f>H50*F50</f>
        <v>3588306853.6680002</v>
      </c>
      <c r="J50" s="39">
        <f>(I50/$I$65)*100</f>
        <v>5.4263654129852572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51">
        <f>$J$50/20</f>
        <v>0.27131827064926284</v>
      </c>
      <c r="X50" s="51">
        <f t="shared" ref="X50:AP50" si="29">$J$50/20</f>
        <v>0.27131827064926284</v>
      </c>
      <c r="Y50" s="51">
        <f t="shared" si="29"/>
        <v>0.27131827064926284</v>
      </c>
      <c r="Z50" s="51">
        <f t="shared" si="29"/>
        <v>0.27131827064926284</v>
      </c>
      <c r="AA50" s="51">
        <f t="shared" si="29"/>
        <v>0.27131827064926284</v>
      </c>
      <c r="AB50" s="51">
        <f t="shared" si="29"/>
        <v>0.27131827064926284</v>
      </c>
      <c r="AC50" s="51">
        <f t="shared" si="29"/>
        <v>0.27131827064926284</v>
      </c>
      <c r="AD50" s="51">
        <f t="shared" si="29"/>
        <v>0.27131827064926284</v>
      </c>
      <c r="AE50" s="51">
        <f t="shared" si="29"/>
        <v>0.27131827064926284</v>
      </c>
      <c r="AF50" s="51">
        <f t="shared" si="29"/>
        <v>0.27131827064926284</v>
      </c>
      <c r="AG50" s="51">
        <f t="shared" si="29"/>
        <v>0.27131827064926284</v>
      </c>
      <c r="AH50" s="51">
        <f t="shared" si="29"/>
        <v>0.27131827064926284</v>
      </c>
      <c r="AI50" s="51">
        <f t="shared" si="29"/>
        <v>0.27131827064926284</v>
      </c>
      <c r="AJ50" s="51">
        <f t="shared" si="29"/>
        <v>0.27131827064926284</v>
      </c>
      <c r="AK50" s="51">
        <f t="shared" si="29"/>
        <v>0.27131827064926284</v>
      </c>
      <c r="AL50" s="51">
        <f t="shared" si="29"/>
        <v>0.27131827064926284</v>
      </c>
      <c r="AM50" s="51">
        <f t="shared" si="29"/>
        <v>0.27131827064926284</v>
      </c>
      <c r="AN50" s="51">
        <f t="shared" si="29"/>
        <v>0.27131827064926284</v>
      </c>
      <c r="AO50" s="51">
        <f t="shared" si="29"/>
        <v>0.27131827064926284</v>
      </c>
      <c r="AP50" s="51">
        <f t="shared" si="29"/>
        <v>0.27131827064926284</v>
      </c>
      <c r="AQ50" s="33"/>
      <c r="AR50" s="33"/>
      <c r="AS50" s="33"/>
      <c r="AT50" s="33"/>
      <c r="AU50" s="33"/>
      <c r="AV50" s="41"/>
      <c r="AW50" s="41"/>
      <c r="AX50" s="41"/>
      <c r="AY50" s="41"/>
      <c r="AZ50" s="41"/>
      <c r="BA50" s="40"/>
      <c r="BB50" s="28"/>
      <c r="BC50" s="33"/>
      <c r="BD50" s="33"/>
      <c r="BE50" s="47"/>
      <c r="BF50" s="47"/>
    </row>
    <row r="51" spans="1:58" x14ac:dyDescent="0.3">
      <c r="B51" s="74"/>
      <c r="C51" s="109"/>
      <c r="D51" s="110"/>
      <c r="E51" s="110"/>
      <c r="F51" s="42"/>
      <c r="G51" s="56"/>
      <c r="H51" s="44"/>
      <c r="I51" s="44"/>
      <c r="J51" s="39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41"/>
      <c r="AL51" s="41"/>
      <c r="AM51" s="41"/>
      <c r="AN51" s="41"/>
      <c r="AO51" s="41"/>
      <c r="AP51" s="41"/>
      <c r="AQ51" s="41"/>
      <c r="AR51" s="33"/>
      <c r="AS51" s="33"/>
      <c r="AT51" s="33"/>
      <c r="AU51" s="33"/>
      <c r="AV51" s="33"/>
      <c r="AW51" s="41"/>
      <c r="AX51" s="41"/>
      <c r="AY51" s="41"/>
      <c r="AZ51" s="41"/>
      <c r="BA51" s="28"/>
      <c r="BB51" s="28"/>
      <c r="BC51" s="33"/>
      <c r="BD51" s="33"/>
      <c r="BE51" s="47"/>
      <c r="BF51" s="47"/>
    </row>
    <row r="52" spans="1:58" x14ac:dyDescent="0.3">
      <c r="A52" s="17">
        <v>37</v>
      </c>
      <c r="B52" s="52" t="s">
        <v>58</v>
      </c>
      <c r="C52" s="68" t="s">
        <v>59</v>
      </c>
      <c r="D52" s="75"/>
      <c r="E52" s="75"/>
      <c r="F52" s="42"/>
      <c r="G52" s="64"/>
      <c r="H52" s="54"/>
      <c r="I52" s="54"/>
      <c r="J52" s="39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41"/>
      <c r="AL52" s="41"/>
      <c r="AM52" s="41"/>
      <c r="AN52" s="41"/>
      <c r="AO52" s="41"/>
      <c r="AP52" s="41"/>
      <c r="AQ52" s="41"/>
      <c r="AR52" s="33"/>
      <c r="AS52" s="33"/>
      <c r="AT52" s="33"/>
      <c r="AU52" s="33"/>
      <c r="AV52" s="33"/>
      <c r="AW52" s="41"/>
      <c r="AX52" s="41"/>
      <c r="AY52" s="41"/>
      <c r="AZ52" s="41"/>
      <c r="BA52" s="28"/>
      <c r="BB52" s="28"/>
      <c r="BC52" s="33"/>
      <c r="BD52" s="33"/>
      <c r="BE52" s="47"/>
      <c r="BF52" s="47"/>
    </row>
    <row r="53" spans="1:58" x14ac:dyDescent="0.3">
      <c r="A53" s="17">
        <v>38</v>
      </c>
      <c r="B53" s="55">
        <v>28</v>
      </c>
      <c r="C53" s="100" t="s">
        <v>60</v>
      </c>
      <c r="D53" s="103"/>
      <c r="E53" s="103"/>
      <c r="F53" s="42">
        <v>6760</v>
      </c>
      <c r="G53" s="56" t="s">
        <v>17</v>
      </c>
      <c r="H53" s="44">
        <v>188770.76</v>
      </c>
      <c r="I53" s="44">
        <f t="shared" ref="I53:I59" si="30">H53*F53</f>
        <v>1276090337.6000001</v>
      </c>
      <c r="J53" s="39">
        <f t="shared" ref="J53:J59" si="31">(I53/$I$65)*100</f>
        <v>1.9297492533892413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41"/>
      <c r="AL53" s="41"/>
      <c r="AM53" s="41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41"/>
      <c r="AY53" s="51">
        <f>$J$53/2</f>
        <v>0.96487462669462065</v>
      </c>
      <c r="AZ53" s="51">
        <f>$J$53/2</f>
        <v>0.96487462669462065</v>
      </c>
      <c r="BA53" s="41"/>
      <c r="BB53" s="33"/>
      <c r="BC53" s="33"/>
      <c r="BD53" s="33"/>
      <c r="BE53" s="47"/>
      <c r="BF53" s="47"/>
    </row>
    <row r="54" spans="1:58" x14ac:dyDescent="0.3">
      <c r="A54" s="17">
        <v>39</v>
      </c>
      <c r="B54" s="55">
        <v>29</v>
      </c>
      <c r="C54" s="100" t="s">
        <v>61</v>
      </c>
      <c r="D54" s="103"/>
      <c r="E54" s="103"/>
      <c r="F54" s="42">
        <v>1833.2</v>
      </c>
      <c r="G54" s="56" t="s">
        <v>45</v>
      </c>
      <c r="H54" s="44">
        <v>15352.07</v>
      </c>
      <c r="I54" s="44">
        <f t="shared" si="30"/>
        <v>28143414.723999999</v>
      </c>
      <c r="J54" s="39">
        <f t="shared" si="31"/>
        <v>4.2559474005269493E-2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41"/>
      <c r="AL54" s="41"/>
      <c r="AM54" s="41"/>
      <c r="AN54" s="33"/>
      <c r="AO54" s="33"/>
      <c r="AP54" s="33"/>
      <c r="AQ54" s="33"/>
      <c r="AR54" s="33"/>
      <c r="AS54" s="33"/>
      <c r="AT54" s="33"/>
      <c r="AU54" s="33"/>
      <c r="AV54" s="33"/>
      <c r="AW54" s="66">
        <f>$J$54/2</f>
        <v>2.1279737002634747E-2</v>
      </c>
      <c r="AX54" s="66">
        <f>$J$54/2</f>
        <v>2.1279737002634747E-2</v>
      </c>
      <c r="AY54" s="33"/>
      <c r="AZ54" s="41"/>
      <c r="BA54" s="41"/>
      <c r="BB54" s="41"/>
      <c r="BC54" s="33"/>
      <c r="BD54" s="33"/>
      <c r="BE54" s="47"/>
      <c r="BF54" s="47"/>
    </row>
    <row r="55" spans="1:58" x14ac:dyDescent="0.3">
      <c r="A55" s="17">
        <v>40</v>
      </c>
      <c r="B55" s="55">
        <v>30</v>
      </c>
      <c r="C55" s="100" t="s">
        <v>62</v>
      </c>
      <c r="D55" s="103"/>
      <c r="E55" s="103"/>
      <c r="F55" s="42">
        <v>62</v>
      </c>
      <c r="G55" s="56" t="s">
        <v>63</v>
      </c>
      <c r="H55" s="44">
        <v>928024.06029622676</v>
      </c>
      <c r="I55" s="44">
        <f t="shared" si="30"/>
        <v>57537491.73836606</v>
      </c>
      <c r="J55" s="39">
        <f t="shared" si="31"/>
        <v>8.7010244065342676E-2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41"/>
      <c r="AL55" s="41"/>
      <c r="AM55" s="41"/>
      <c r="AN55" s="33"/>
      <c r="AO55" s="33"/>
      <c r="AP55" s="33"/>
      <c r="AQ55" s="33"/>
      <c r="AR55" s="33"/>
      <c r="AS55" s="33"/>
      <c r="AT55" s="33"/>
      <c r="AU55" s="33"/>
      <c r="AV55" s="33"/>
      <c r="AW55" s="51">
        <f>$J$55/2</f>
        <v>4.3505122032671338E-2</v>
      </c>
      <c r="AX55" s="51">
        <f>$J$55/2</f>
        <v>4.3505122032671338E-2</v>
      </c>
      <c r="AY55" s="33"/>
      <c r="AZ55" s="33"/>
      <c r="BA55" s="41"/>
      <c r="BB55" s="41"/>
      <c r="BC55" s="41"/>
      <c r="BD55" s="41"/>
      <c r="BE55" s="47"/>
      <c r="BF55" s="47"/>
    </row>
    <row r="56" spans="1:58" x14ac:dyDescent="0.3">
      <c r="A56" s="17">
        <v>41</v>
      </c>
      <c r="B56" s="55">
        <v>31</v>
      </c>
      <c r="C56" s="100" t="s">
        <v>64</v>
      </c>
      <c r="D56" s="103"/>
      <c r="E56" s="103"/>
      <c r="F56" s="42">
        <v>325</v>
      </c>
      <c r="G56" s="56" t="s">
        <v>63</v>
      </c>
      <c r="H56" s="44">
        <v>158406.70000000001</v>
      </c>
      <c r="I56" s="44">
        <f t="shared" si="30"/>
        <v>51482177.500000007</v>
      </c>
      <c r="J56" s="39">
        <f t="shared" si="31"/>
        <v>7.7853182228716691E-2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66">
        <f t="shared" ref="AS56:AW56" si="32">$J$56/6</f>
        <v>1.2975530371452782E-2</v>
      </c>
      <c r="AT56" s="66">
        <f t="shared" si="32"/>
        <v>1.2975530371452782E-2</v>
      </c>
      <c r="AU56" s="66">
        <f t="shared" si="32"/>
        <v>1.2975530371452782E-2</v>
      </c>
      <c r="AV56" s="66">
        <f t="shared" si="32"/>
        <v>1.2975530371452782E-2</v>
      </c>
      <c r="AW56" s="66">
        <f t="shared" si="32"/>
        <v>1.2975530371452782E-2</v>
      </c>
      <c r="AX56" s="66">
        <f>$J$56/6</f>
        <v>1.2975530371452782E-2</v>
      </c>
      <c r="AY56" s="33"/>
      <c r="AZ56" s="41"/>
      <c r="BA56" s="41"/>
      <c r="BB56" s="33"/>
      <c r="BC56" s="33"/>
      <c r="BD56" s="58"/>
      <c r="BE56" s="47"/>
      <c r="BF56" s="47"/>
    </row>
    <row r="57" spans="1:58" x14ac:dyDescent="0.3">
      <c r="A57" s="17">
        <v>42</v>
      </c>
      <c r="B57" s="55">
        <v>32</v>
      </c>
      <c r="C57" s="100" t="s">
        <v>65</v>
      </c>
      <c r="D57" s="103"/>
      <c r="E57" s="103"/>
      <c r="F57" s="42">
        <v>68</v>
      </c>
      <c r="G57" s="56" t="s">
        <v>63</v>
      </c>
      <c r="H57" s="44">
        <v>365289.52</v>
      </c>
      <c r="I57" s="44">
        <f t="shared" si="30"/>
        <v>24839687.359999999</v>
      </c>
      <c r="J57" s="39">
        <f t="shared" si="31"/>
        <v>3.7563459831170314E-2</v>
      </c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3"/>
      <c r="Z57" s="33"/>
      <c r="AA57" s="33"/>
      <c r="AB57" s="33"/>
      <c r="AC57" s="33"/>
      <c r="AD57" s="76"/>
      <c r="AE57" s="76"/>
      <c r="AF57" s="76"/>
      <c r="AG57" s="33"/>
      <c r="AH57" s="33"/>
      <c r="AI57" s="33"/>
      <c r="AJ57" s="33"/>
      <c r="AK57" s="76"/>
      <c r="AL57" s="76"/>
      <c r="AM57" s="76"/>
      <c r="AN57" s="33"/>
      <c r="AO57" s="33"/>
      <c r="AP57" s="33"/>
      <c r="AQ57" s="33"/>
      <c r="AR57" s="33"/>
      <c r="AS57" s="33"/>
      <c r="AT57" s="33"/>
      <c r="AU57" s="66">
        <f t="shared" ref="AU57:AW57" si="33">$J$57/4</f>
        <v>9.3908649577925784E-3</v>
      </c>
      <c r="AV57" s="66">
        <f t="shared" si="33"/>
        <v>9.3908649577925784E-3</v>
      </c>
      <c r="AW57" s="66">
        <f t="shared" si="33"/>
        <v>9.3908649577925784E-3</v>
      </c>
      <c r="AX57" s="66">
        <f>$J$57/4</f>
        <v>9.3908649577925784E-3</v>
      </c>
      <c r="AY57" s="76"/>
      <c r="AZ57" s="41"/>
      <c r="BA57" s="41"/>
      <c r="BB57" s="41"/>
      <c r="BC57" s="41"/>
      <c r="BD57" s="33"/>
      <c r="BE57" s="47"/>
      <c r="BF57" s="47"/>
    </row>
    <row r="58" spans="1:58" x14ac:dyDescent="0.3">
      <c r="A58" s="17">
        <v>43</v>
      </c>
      <c r="B58" s="55">
        <v>33</v>
      </c>
      <c r="C58" s="100" t="s">
        <v>66</v>
      </c>
      <c r="D58" s="103"/>
      <c r="E58" s="103"/>
      <c r="F58" s="42">
        <v>13520</v>
      </c>
      <c r="G58" s="56" t="s">
        <v>17</v>
      </c>
      <c r="H58" s="44">
        <v>106525.23</v>
      </c>
      <c r="I58" s="77">
        <f t="shared" si="30"/>
        <v>1440221109.5999999</v>
      </c>
      <c r="J58" s="39">
        <f t="shared" si="31"/>
        <v>2.1779536519280547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3"/>
      <c r="Z58" s="33"/>
      <c r="AA58" s="33"/>
      <c r="AB58" s="33"/>
      <c r="AC58" s="33"/>
      <c r="AD58" s="76"/>
      <c r="AE58" s="76"/>
      <c r="AF58" s="76"/>
      <c r="AG58" s="33"/>
      <c r="AH58" s="33"/>
      <c r="AI58" s="33"/>
      <c r="AJ58" s="33"/>
      <c r="AK58" s="76"/>
      <c r="AL58" s="76"/>
      <c r="AM58" s="66">
        <f t="shared" ref="AM58:AQ58" si="34">$J$58/6</f>
        <v>0.36299227532134243</v>
      </c>
      <c r="AN58" s="66">
        <f t="shared" si="34"/>
        <v>0.36299227532134243</v>
      </c>
      <c r="AO58" s="66">
        <f t="shared" si="34"/>
        <v>0.36299227532134243</v>
      </c>
      <c r="AP58" s="66">
        <f t="shared" si="34"/>
        <v>0.36299227532134243</v>
      </c>
      <c r="AQ58" s="66">
        <f t="shared" si="34"/>
        <v>0.36299227532134243</v>
      </c>
      <c r="AR58" s="66">
        <f>$J$58/6</f>
        <v>0.36299227532134243</v>
      </c>
      <c r="AS58" s="33"/>
      <c r="AT58" s="33"/>
      <c r="AU58" s="33"/>
      <c r="AV58" s="33"/>
      <c r="AW58" s="33"/>
      <c r="AX58" s="76"/>
      <c r="AY58" s="76"/>
      <c r="AZ58" s="41"/>
      <c r="BA58" s="41"/>
      <c r="BB58" s="41"/>
      <c r="BC58" s="41"/>
      <c r="BD58" s="33"/>
      <c r="BE58" s="47"/>
      <c r="BF58" s="47"/>
    </row>
    <row r="59" spans="1:58" x14ac:dyDescent="0.3">
      <c r="A59" s="17">
        <v>44</v>
      </c>
      <c r="B59" s="55">
        <v>34</v>
      </c>
      <c r="C59" s="100" t="s">
        <v>67</v>
      </c>
      <c r="D59" s="103"/>
      <c r="E59" s="103"/>
      <c r="F59" s="42">
        <v>68</v>
      </c>
      <c r="G59" s="56" t="s">
        <v>63</v>
      </c>
      <c r="H59" s="44">
        <v>8036747.3904198259</v>
      </c>
      <c r="I59" s="77">
        <f t="shared" si="30"/>
        <v>546498822.54854822</v>
      </c>
      <c r="J59" s="39">
        <f t="shared" si="31"/>
        <v>0.82643498169150331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33"/>
      <c r="Z59" s="33"/>
      <c r="AA59" s="33"/>
      <c r="AB59" s="33"/>
      <c r="AC59" s="33"/>
      <c r="AD59" s="76"/>
      <c r="AE59" s="76"/>
      <c r="AF59" s="76"/>
      <c r="AG59" s="33"/>
      <c r="AH59" s="33"/>
      <c r="AI59" s="33"/>
      <c r="AJ59" s="33"/>
      <c r="AK59" s="76"/>
      <c r="AL59" s="76"/>
      <c r="AM59" s="76"/>
      <c r="AN59" s="33"/>
      <c r="AO59" s="33"/>
      <c r="AP59" s="33"/>
      <c r="AQ59" s="33"/>
      <c r="AR59" s="33"/>
      <c r="AS59" s="33"/>
      <c r="AT59" s="33"/>
      <c r="AU59" s="33"/>
      <c r="AV59" s="33"/>
      <c r="AW59" s="51">
        <f t="shared" ref="AW59:AY59" si="35">$J$59/4</f>
        <v>0.20660874542287583</v>
      </c>
      <c r="AX59" s="51">
        <f t="shared" si="35"/>
        <v>0.20660874542287583</v>
      </c>
      <c r="AY59" s="51">
        <f t="shared" si="35"/>
        <v>0.20660874542287583</v>
      </c>
      <c r="AZ59" s="51">
        <f>$J$59/4</f>
        <v>0.20660874542287583</v>
      </c>
      <c r="BA59" s="41"/>
      <c r="BB59" s="41"/>
      <c r="BC59" s="41"/>
      <c r="BD59" s="33"/>
      <c r="BE59" s="47"/>
      <c r="BF59" s="47"/>
    </row>
    <row r="60" spans="1:58" x14ac:dyDescent="0.3">
      <c r="B60" s="78"/>
      <c r="C60" s="100"/>
      <c r="D60" s="103"/>
      <c r="E60" s="103"/>
      <c r="F60" s="42"/>
      <c r="G60" s="56"/>
      <c r="H60" s="44"/>
      <c r="I60" s="77"/>
      <c r="J60" s="39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3"/>
      <c r="Z60" s="33"/>
      <c r="AA60" s="33"/>
      <c r="AB60" s="33"/>
      <c r="AC60" s="33"/>
      <c r="AD60" s="76"/>
      <c r="AE60" s="76"/>
      <c r="AF60" s="76"/>
      <c r="AG60" s="33"/>
      <c r="AH60" s="33"/>
      <c r="AI60" s="33"/>
      <c r="AJ60" s="33"/>
      <c r="AK60" s="76"/>
      <c r="AL60" s="76"/>
      <c r="AM60" s="76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76"/>
      <c r="AY60" s="76"/>
      <c r="AZ60" s="41"/>
      <c r="BA60" s="41"/>
      <c r="BB60" s="41"/>
      <c r="BC60" s="41"/>
      <c r="BD60" s="33"/>
      <c r="BE60" s="47"/>
      <c r="BF60" s="47"/>
    </row>
    <row r="61" spans="1:58" x14ac:dyDescent="0.3">
      <c r="A61" s="17">
        <v>45</v>
      </c>
      <c r="B61" s="52" t="s">
        <v>68</v>
      </c>
      <c r="C61" s="79" t="s">
        <v>69</v>
      </c>
      <c r="D61" s="80"/>
      <c r="E61" s="80"/>
      <c r="F61" s="42"/>
      <c r="G61" s="64"/>
      <c r="H61" s="54"/>
      <c r="I61" s="81"/>
      <c r="J61" s="39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41"/>
      <c r="AE61" s="41"/>
      <c r="AF61" s="41"/>
      <c r="AG61" s="33"/>
      <c r="AH61" s="33"/>
      <c r="AI61" s="33"/>
      <c r="AJ61" s="33"/>
      <c r="AK61" s="58"/>
      <c r="AL61" s="58"/>
      <c r="AM61" s="58"/>
      <c r="AN61" s="58"/>
      <c r="AO61" s="58"/>
      <c r="AP61" s="58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33"/>
      <c r="BE61" s="47"/>
      <c r="BF61" s="47"/>
    </row>
    <row r="62" spans="1:58" x14ac:dyDescent="0.3">
      <c r="A62" s="17">
        <v>46</v>
      </c>
      <c r="B62" s="55">
        <v>35</v>
      </c>
      <c r="C62" s="82" t="s">
        <v>70</v>
      </c>
      <c r="D62" s="82"/>
      <c r="E62" s="82"/>
      <c r="F62" s="42">
        <v>1</v>
      </c>
      <c r="G62" s="56" t="s">
        <v>13</v>
      </c>
      <c r="H62" s="44">
        <v>18651519.300000001</v>
      </c>
      <c r="I62" s="77">
        <f>H62*F62</f>
        <v>18651519.300000001</v>
      </c>
      <c r="J62" s="39">
        <f>(I62/$I$65)*100</f>
        <v>2.8205491714201995E-2</v>
      </c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41"/>
      <c r="AE62" s="41"/>
      <c r="AF62" s="41"/>
      <c r="AG62" s="33"/>
      <c r="AH62" s="33"/>
      <c r="AI62" s="33"/>
      <c r="AJ62" s="33"/>
      <c r="AK62" s="58"/>
      <c r="AL62" s="58"/>
      <c r="AM62" s="58"/>
      <c r="AN62" s="58"/>
      <c r="AO62" s="58"/>
      <c r="AP62" s="58"/>
      <c r="AQ62" s="76"/>
      <c r="AR62" s="76"/>
      <c r="AS62" s="76"/>
      <c r="AT62" s="76"/>
      <c r="AU62" s="76"/>
      <c r="AV62" s="76"/>
      <c r="AW62" s="76"/>
      <c r="AX62" s="76"/>
      <c r="AY62" s="66">
        <f>$J$62/4</f>
        <v>7.0513729285504988E-3</v>
      </c>
      <c r="AZ62" s="66">
        <f t="shared" ref="AZ62:BB62" si="36">$J$62/4</f>
        <v>7.0513729285504988E-3</v>
      </c>
      <c r="BA62" s="66">
        <f t="shared" si="36"/>
        <v>7.0513729285504988E-3</v>
      </c>
      <c r="BB62" s="66">
        <f t="shared" si="36"/>
        <v>7.0513729285504988E-3</v>
      </c>
      <c r="BC62" s="33"/>
      <c r="BD62" s="33"/>
      <c r="BE62" s="47"/>
      <c r="BF62" s="47"/>
    </row>
    <row r="63" spans="1:58" x14ac:dyDescent="0.3">
      <c r="A63" s="17">
        <v>47</v>
      </c>
      <c r="B63" s="55">
        <v>36</v>
      </c>
      <c r="C63" s="82" t="s">
        <v>71</v>
      </c>
      <c r="D63" s="82"/>
      <c r="E63" s="82"/>
      <c r="F63" s="42">
        <v>1</v>
      </c>
      <c r="G63" s="56" t="s">
        <v>13</v>
      </c>
      <c r="H63" s="44">
        <v>45402710.710000001</v>
      </c>
      <c r="I63" s="77">
        <f>H63*F63</f>
        <v>45402710.710000001</v>
      </c>
      <c r="J63" s="39">
        <f>(I63/$I$65)*100</f>
        <v>6.865959604337514E-2</v>
      </c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41"/>
      <c r="AE63" s="41"/>
      <c r="AF63" s="41"/>
      <c r="AG63" s="33"/>
      <c r="AH63" s="33"/>
      <c r="AI63" s="33"/>
      <c r="AJ63" s="33"/>
      <c r="AK63" s="58"/>
      <c r="AL63" s="58"/>
      <c r="AM63" s="58"/>
      <c r="AN63" s="58"/>
      <c r="AO63" s="58"/>
      <c r="AP63" s="58"/>
      <c r="AQ63" s="76"/>
      <c r="AR63" s="76"/>
      <c r="AS63" s="76"/>
      <c r="AT63" s="76"/>
      <c r="AU63" s="76"/>
      <c r="AV63" s="76"/>
      <c r="AW63" s="76"/>
      <c r="AX63" s="76"/>
      <c r="AY63" s="66">
        <f>$J$63/4</f>
        <v>1.7164899010843785E-2</v>
      </c>
      <c r="AZ63" s="66">
        <f t="shared" ref="AZ63:BB63" si="37">$J$63/4</f>
        <v>1.7164899010843785E-2</v>
      </c>
      <c r="BA63" s="66">
        <f t="shared" si="37"/>
        <v>1.7164899010843785E-2</v>
      </c>
      <c r="BB63" s="66">
        <f t="shared" si="37"/>
        <v>1.7164899010843785E-2</v>
      </c>
      <c r="BC63" s="33"/>
      <c r="BD63" s="33"/>
      <c r="BE63" s="47"/>
      <c r="BF63" s="47"/>
    </row>
    <row r="64" spans="1:58" x14ac:dyDescent="0.3">
      <c r="A64" s="17">
        <v>48</v>
      </c>
      <c r="B64" s="55">
        <v>37</v>
      </c>
      <c r="C64" s="69" t="s">
        <v>72</v>
      </c>
      <c r="D64" s="69"/>
      <c r="E64" s="69"/>
      <c r="F64" s="42">
        <v>1</v>
      </c>
      <c r="G64" s="83" t="s">
        <v>13</v>
      </c>
      <c r="H64" s="44">
        <v>7005317.9900000002</v>
      </c>
      <c r="I64" s="77">
        <f>H64*F64</f>
        <v>7005317.9900000002</v>
      </c>
      <c r="J64" s="39">
        <f>(I64/$I$65)*100</f>
        <v>1.0593691341932405E-2</v>
      </c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41"/>
      <c r="AE64" s="41"/>
      <c r="AF64" s="41"/>
      <c r="AG64" s="33"/>
      <c r="AH64" s="33"/>
      <c r="AI64" s="33"/>
      <c r="AJ64" s="33"/>
      <c r="AK64" s="58"/>
      <c r="AL64" s="58"/>
      <c r="AM64" s="58"/>
      <c r="AN64" s="58"/>
      <c r="AO64" s="58"/>
      <c r="AP64" s="58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66">
        <f>$J$64/4</f>
        <v>2.6484228354831012E-3</v>
      </c>
      <c r="BB64" s="66">
        <f t="shared" ref="BB64:BD64" si="38">$J$64/4</f>
        <v>2.6484228354831012E-3</v>
      </c>
      <c r="BC64" s="66">
        <f t="shared" si="38"/>
        <v>2.6484228354831012E-3</v>
      </c>
      <c r="BD64" s="66">
        <f t="shared" si="38"/>
        <v>2.6484228354831012E-3</v>
      </c>
      <c r="BE64" s="47"/>
      <c r="BF64" s="47"/>
    </row>
    <row r="65" spans="2:56" ht="15.6" customHeight="1" x14ac:dyDescent="0.3">
      <c r="B65" s="111" t="s">
        <v>73</v>
      </c>
      <c r="C65" s="112"/>
      <c r="D65" s="112"/>
      <c r="E65" s="112"/>
      <c r="F65" s="112"/>
      <c r="G65" s="112"/>
      <c r="H65" s="113"/>
      <c r="I65" s="120">
        <f>SUM(I9:I64)</f>
        <v>66127261630.431396</v>
      </c>
      <c r="J65" s="123">
        <f>SUM(J9:J64)</f>
        <v>100.00000000000006</v>
      </c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29"/>
      <c r="AM65" s="29"/>
      <c r="AN65" s="29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</row>
    <row r="66" spans="2:56" ht="14.4" customHeight="1" x14ac:dyDescent="0.3">
      <c r="B66" s="114"/>
      <c r="C66" s="115"/>
      <c r="D66" s="115"/>
      <c r="E66" s="115"/>
      <c r="F66" s="115"/>
      <c r="G66" s="115"/>
      <c r="H66" s="116"/>
      <c r="I66" s="121"/>
      <c r="J66" s="123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29"/>
      <c r="AM66" s="29"/>
      <c r="AN66" s="29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</row>
    <row r="67" spans="2:56" ht="14.4" customHeight="1" x14ac:dyDescent="0.3">
      <c r="B67" s="117"/>
      <c r="C67" s="118"/>
      <c r="D67" s="118"/>
      <c r="E67" s="118"/>
      <c r="F67" s="118"/>
      <c r="G67" s="118"/>
      <c r="H67" s="119"/>
      <c r="I67" s="122"/>
      <c r="J67" s="123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29"/>
      <c r="AM67" s="29"/>
      <c r="AN67" s="29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</row>
    <row r="68" spans="2:56" x14ac:dyDescent="0.3">
      <c r="B68" s="28"/>
      <c r="C68" s="28"/>
      <c r="D68" s="28"/>
      <c r="E68" s="28"/>
      <c r="F68" s="28"/>
      <c r="G68" s="28"/>
      <c r="H68" s="28"/>
      <c r="I68" s="28" t="s">
        <v>74</v>
      </c>
      <c r="J68" s="28"/>
      <c r="K68" s="85">
        <f>SUM(K9:K64)</f>
        <v>0.13655063498141234</v>
      </c>
      <c r="L68" s="85">
        <f t="shared" ref="L68:BD68" si="39">SUM(L9:L64)</f>
        <v>0.21812999978482991</v>
      </c>
      <c r="M68" s="85">
        <f t="shared" si="39"/>
        <v>0.43519846578901278</v>
      </c>
      <c r="N68" s="85">
        <f t="shared" si="39"/>
        <v>0.41276172845227088</v>
      </c>
      <c r="O68" s="85">
        <f t="shared" si="39"/>
        <v>0.41342466039711684</v>
      </c>
      <c r="P68" s="85">
        <f t="shared" si="39"/>
        <v>0.35428203293044114</v>
      </c>
      <c r="Q68" s="85">
        <f t="shared" si="39"/>
        <v>0.47928051972434871</v>
      </c>
      <c r="R68" s="85">
        <f t="shared" si="39"/>
        <v>0.47928051972434871</v>
      </c>
      <c r="S68" s="85">
        <f t="shared" si="39"/>
        <v>0.56291752064591438</v>
      </c>
      <c r="T68" s="85">
        <f t="shared" si="39"/>
        <v>0.56291752064591438</v>
      </c>
      <c r="U68" s="85">
        <f t="shared" si="39"/>
        <v>0.90251501946575918</v>
      </c>
      <c r="V68" s="85">
        <f t="shared" si="39"/>
        <v>0.90251501946575918</v>
      </c>
      <c r="W68" s="85">
        <f t="shared" si="39"/>
        <v>1.9218783315683892</v>
      </c>
      <c r="X68" s="85">
        <f t="shared" si="39"/>
        <v>1.9218783315683892</v>
      </c>
      <c r="Y68" s="85">
        <f t="shared" si="39"/>
        <v>2.9723304508193022</v>
      </c>
      <c r="Z68" s="85">
        <f t="shared" si="39"/>
        <v>2.9723304508193022</v>
      </c>
      <c r="AA68" s="85">
        <f t="shared" si="39"/>
        <v>2.977895192847432</v>
      </c>
      <c r="AB68" s="85">
        <f t="shared" si="39"/>
        <v>2.977895192847432</v>
      </c>
      <c r="AC68" s="85">
        <f t="shared" si="39"/>
        <v>3.2843467988659132</v>
      </c>
      <c r="AD68" s="85">
        <f t="shared" si="39"/>
        <v>3.2843467988659132</v>
      </c>
      <c r="AE68" s="85">
        <f t="shared" si="39"/>
        <v>3.2843467988659132</v>
      </c>
      <c r="AF68" s="85">
        <f t="shared" si="39"/>
        <v>3.2843467988659132</v>
      </c>
      <c r="AG68" s="85">
        <f t="shared" si="39"/>
        <v>4.678559915212146</v>
      </c>
      <c r="AH68" s="85">
        <f t="shared" si="39"/>
        <v>4.678559915212146</v>
      </c>
      <c r="AI68" s="85">
        <f t="shared" si="39"/>
        <v>4.5264372116444438</v>
      </c>
      <c r="AJ68" s="85">
        <f t="shared" si="39"/>
        <v>4.5264372116444438</v>
      </c>
      <c r="AK68" s="85">
        <f t="shared" si="39"/>
        <v>4.4913035256876865</v>
      </c>
      <c r="AL68" s="85">
        <f t="shared" si="39"/>
        <v>4.4913035256876865</v>
      </c>
      <c r="AM68" s="85">
        <f t="shared" si="39"/>
        <v>4.8542958010090294</v>
      </c>
      <c r="AN68" s="85">
        <f t="shared" si="39"/>
        <v>4.8542958010090294</v>
      </c>
      <c r="AO68" s="85">
        <f t="shared" si="39"/>
        <v>4.930325725691417</v>
      </c>
      <c r="AP68" s="85">
        <f t="shared" si="39"/>
        <v>4.930325725691417</v>
      </c>
      <c r="AQ68" s="85">
        <f t="shared" si="39"/>
        <v>4.1414708338250241</v>
      </c>
      <c r="AR68" s="85">
        <f t="shared" si="39"/>
        <v>4.1414708338250241</v>
      </c>
      <c r="AS68" s="85">
        <f t="shared" si="39"/>
        <v>1.1409249915845374</v>
      </c>
      <c r="AT68" s="85">
        <f t="shared" si="39"/>
        <v>1.1409249915845374</v>
      </c>
      <c r="AU68" s="85">
        <f t="shared" si="39"/>
        <v>1.1503158565423299</v>
      </c>
      <c r="AV68" s="85">
        <f t="shared" si="39"/>
        <v>1.1503158565423299</v>
      </c>
      <c r="AW68" s="85">
        <f t="shared" si="39"/>
        <v>0.99543700373740851</v>
      </c>
      <c r="AX68" s="85">
        <f t="shared" si="39"/>
        <v>0.99543700373740851</v>
      </c>
      <c r="AY68" s="85">
        <f t="shared" si="39"/>
        <v>1.440688540126289</v>
      </c>
      <c r="AZ68" s="85">
        <f t="shared" si="39"/>
        <v>1.440688540126289</v>
      </c>
      <c r="BA68" s="85">
        <f t="shared" si="39"/>
        <v>0.27185359084427585</v>
      </c>
      <c r="BB68" s="85">
        <f t="shared" si="39"/>
        <v>0.27185359084427585</v>
      </c>
      <c r="BC68" s="85">
        <f t="shared" si="39"/>
        <v>7.7026101249138999E-3</v>
      </c>
      <c r="BD68" s="85">
        <f t="shared" si="39"/>
        <v>7.7026101249138999E-3</v>
      </c>
    </row>
    <row r="69" spans="2:56" x14ac:dyDescent="0.3">
      <c r="B69" s="28"/>
      <c r="C69" s="28"/>
      <c r="D69" s="28"/>
      <c r="E69" s="28"/>
      <c r="F69" s="28"/>
      <c r="G69" s="28"/>
      <c r="H69" s="28"/>
      <c r="I69" s="28" t="s">
        <v>75</v>
      </c>
      <c r="J69" s="28"/>
      <c r="K69" s="65">
        <f>K68</f>
        <v>0.13655063498141234</v>
      </c>
      <c r="L69" s="65">
        <f>L68+K69</f>
        <v>0.35468063476624223</v>
      </c>
      <c r="M69" s="65">
        <f t="shared" ref="M69:BD69" si="40">M68+L69</f>
        <v>0.78987910055525501</v>
      </c>
      <c r="N69" s="65">
        <f t="shared" si="40"/>
        <v>1.2026408290075259</v>
      </c>
      <c r="O69" s="65">
        <f t="shared" si="40"/>
        <v>1.6160654894046427</v>
      </c>
      <c r="P69" s="65">
        <f t="shared" si="40"/>
        <v>1.9703475223350839</v>
      </c>
      <c r="Q69" s="65">
        <f t="shared" si="40"/>
        <v>2.4496280420594325</v>
      </c>
      <c r="R69" s="65">
        <f t="shared" si="40"/>
        <v>2.9289085617837811</v>
      </c>
      <c r="S69" s="65">
        <f t="shared" si="40"/>
        <v>3.4918260824296956</v>
      </c>
      <c r="T69" s="65">
        <f t="shared" si="40"/>
        <v>4.0547436030756101</v>
      </c>
      <c r="U69" s="65">
        <f t="shared" si="40"/>
        <v>4.9572586225413691</v>
      </c>
      <c r="V69" s="65">
        <f t="shared" si="40"/>
        <v>5.859773642007128</v>
      </c>
      <c r="W69" s="65">
        <f t="shared" si="40"/>
        <v>7.7816519735755172</v>
      </c>
      <c r="X69" s="65">
        <f t="shared" si="40"/>
        <v>9.7035303051439072</v>
      </c>
      <c r="Y69" s="65">
        <f t="shared" si="40"/>
        <v>12.67586075596321</v>
      </c>
      <c r="Z69" s="65">
        <f t="shared" si="40"/>
        <v>15.648191206782514</v>
      </c>
      <c r="AA69" s="65">
        <f t="shared" si="40"/>
        <v>18.626086399629944</v>
      </c>
      <c r="AB69" s="65">
        <f t="shared" si="40"/>
        <v>21.603981592477375</v>
      </c>
      <c r="AC69" s="65">
        <f t="shared" si="40"/>
        <v>24.888328391343286</v>
      </c>
      <c r="AD69" s="65">
        <f t="shared" si="40"/>
        <v>28.172675190209198</v>
      </c>
      <c r="AE69" s="65">
        <f t="shared" si="40"/>
        <v>31.457021989075109</v>
      </c>
      <c r="AF69" s="65">
        <f t="shared" si="40"/>
        <v>34.74136878794102</v>
      </c>
      <c r="AG69" s="65">
        <f t="shared" si="40"/>
        <v>39.419928703153168</v>
      </c>
      <c r="AH69" s="65">
        <f t="shared" si="40"/>
        <v>44.098488618365316</v>
      </c>
      <c r="AI69" s="65">
        <f t="shared" si="40"/>
        <v>48.624925830009758</v>
      </c>
      <c r="AJ69" s="65">
        <f t="shared" si="40"/>
        <v>53.1513630416542</v>
      </c>
      <c r="AK69" s="65">
        <f t="shared" si="40"/>
        <v>57.642666567341884</v>
      </c>
      <c r="AL69" s="65">
        <f t="shared" si="40"/>
        <v>62.133970093029568</v>
      </c>
      <c r="AM69" s="65">
        <f t="shared" si="40"/>
        <v>66.988265894038591</v>
      </c>
      <c r="AN69" s="65">
        <f t="shared" si="40"/>
        <v>71.842561695047621</v>
      </c>
      <c r="AO69" s="65">
        <f t="shared" si="40"/>
        <v>76.772887420739039</v>
      </c>
      <c r="AP69" s="65">
        <f t="shared" si="40"/>
        <v>81.703213146430457</v>
      </c>
      <c r="AQ69" s="65">
        <f t="shared" si="40"/>
        <v>85.844683980255482</v>
      </c>
      <c r="AR69" s="65">
        <f t="shared" si="40"/>
        <v>89.986154814080507</v>
      </c>
      <c r="AS69" s="65">
        <f t="shared" si="40"/>
        <v>91.127079805665048</v>
      </c>
      <c r="AT69" s="65">
        <f t="shared" si="40"/>
        <v>92.268004797249588</v>
      </c>
      <c r="AU69" s="65">
        <f t="shared" si="40"/>
        <v>93.418320653791923</v>
      </c>
      <c r="AV69" s="65">
        <f t="shared" si="40"/>
        <v>94.568636510334258</v>
      </c>
      <c r="AW69" s="65">
        <f t="shared" si="40"/>
        <v>95.564073514071666</v>
      </c>
      <c r="AX69" s="65">
        <f t="shared" si="40"/>
        <v>96.559510517809073</v>
      </c>
      <c r="AY69" s="65">
        <f t="shared" si="40"/>
        <v>98.000199057935362</v>
      </c>
      <c r="AZ69" s="65">
        <f t="shared" si="40"/>
        <v>99.44088759806165</v>
      </c>
      <c r="BA69" s="65">
        <f t="shared" si="40"/>
        <v>99.712741188905923</v>
      </c>
      <c r="BB69" s="65">
        <f t="shared" si="40"/>
        <v>99.984594779750196</v>
      </c>
      <c r="BC69" s="65">
        <f t="shared" si="40"/>
        <v>99.992297389875105</v>
      </c>
      <c r="BD69" s="65">
        <f t="shared" si="40"/>
        <v>100.00000000000001</v>
      </c>
    </row>
  </sheetData>
  <mergeCells count="59">
    <mergeCell ref="C60:E60"/>
    <mergeCell ref="B65:H67"/>
    <mergeCell ref="I65:I67"/>
    <mergeCell ref="J65:J67"/>
    <mergeCell ref="C54:E54"/>
    <mergeCell ref="C55:E55"/>
    <mergeCell ref="C56:E56"/>
    <mergeCell ref="C57:E57"/>
    <mergeCell ref="C58:E58"/>
    <mergeCell ref="C59:E59"/>
    <mergeCell ref="C53:E5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40:E40"/>
    <mergeCell ref="C26:E26"/>
    <mergeCell ref="C27:E27"/>
    <mergeCell ref="C28:E28"/>
    <mergeCell ref="C29:E29"/>
    <mergeCell ref="C30:E30"/>
    <mergeCell ref="C32:E32"/>
    <mergeCell ref="C34:E34"/>
    <mergeCell ref="C36:E36"/>
    <mergeCell ref="C37:E37"/>
    <mergeCell ref="C38:E38"/>
    <mergeCell ref="C39:E39"/>
    <mergeCell ref="C25:E25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B2:BD2"/>
    <mergeCell ref="B3:BD3"/>
    <mergeCell ref="C13:E13"/>
    <mergeCell ref="C4:D4"/>
    <mergeCell ref="B6:B7"/>
    <mergeCell ref="C6:E7"/>
    <mergeCell ref="F6:F7"/>
    <mergeCell ref="K6:BD6"/>
    <mergeCell ref="C9:E9"/>
    <mergeCell ref="C10:E10"/>
    <mergeCell ref="C11:E11"/>
    <mergeCell ref="C12:E12"/>
    <mergeCell ref="G6:G7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5"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Kurva S</vt:lpstr>
      <vt:lpstr>'Kurva 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</cp:lastModifiedBy>
  <cp:lastPrinted>2022-08-19T04:51:20Z</cp:lastPrinted>
  <dcterms:created xsi:type="dcterms:W3CDTF">2021-03-27T04:48:48Z</dcterms:created>
  <dcterms:modified xsi:type="dcterms:W3CDTF">2024-09-26T00:47:52Z</dcterms:modified>
</cp:coreProperties>
</file>