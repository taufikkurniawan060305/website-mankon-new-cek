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ocuments\Kuliah\Semester 6\Seleksi Asdos Mankon\MANAJEMEN KONTRUKSI GASAL 2024\Soal Mankon\"/>
    </mc:Choice>
  </mc:AlternateContent>
  <xr:revisionPtr revIDLastSave="0" documentId="13_ncr:1_{E7909511-59D1-4DD2-8BF2-19FBEEC5B540}" xr6:coauthVersionLast="45" xr6:coauthVersionMax="45" xr10:uidLastSave="{00000000-0000-0000-0000-000000000000}"/>
  <bookViews>
    <workbookView xWindow="-108" yWindow="-108" windowWidth="23256" windowHeight="13176" xr2:uid="{8462B496-5A80-497A-AD06-7C93C70C0C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58" i="1" l="1"/>
  <c r="I57" i="1"/>
  <c r="I56" i="1"/>
  <c r="I54" i="1"/>
  <c r="I53" i="1"/>
  <c r="I52" i="1"/>
  <c r="I51" i="1"/>
  <c r="I50" i="1"/>
  <c r="I49" i="1"/>
  <c r="I48" i="1"/>
  <c r="I46" i="1"/>
  <c r="I45" i="1"/>
  <c r="I44" i="1"/>
  <c r="I41" i="1"/>
  <c r="I40" i="1"/>
  <c r="I39" i="1"/>
  <c r="I38" i="1"/>
  <c r="I37" i="1"/>
  <c r="I35" i="1"/>
  <c r="I34" i="1"/>
  <c r="I32" i="1"/>
  <c r="I31" i="1"/>
  <c r="I29" i="1"/>
  <c r="I28" i="1"/>
  <c r="I27" i="1"/>
  <c r="I26" i="1"/>
  <c r="I25" i="1"/>
  <c r="I24" i="1"/>
  <c r="I22" i="1"/>
  <c r="I21" i="1"/>
  <c r="I20" i="1"/>
  <c r="I19" i="1"/>
  <c r="I17" i="1"/>
  <c r="I16" i="1"/>
  <c r="I15" i="1"/>
  <c r="I14" i="1"/>
  <c r="I13" i="1"/>
  <c r="I59" i="1" l="1"/>
</calcChain>
</file>

<file path=xl/sharedStrings.xml><?xml version="1.0" encoding="utf-8"?>
<sst xmlns="http://schemas.openxmlformats.org/spreadsheetml/2006/main" count="110" uniqueCount="79">
  <si>
    <t>NO</t>
  </si>
  <si>
    <t>ITEM PEKERJAAN</t>
  </si>
  <si>
    <t>VOL</t>
  </si>
  <si>
    <t>SATUAN</t>
  </si>
  <si>
    <t>HARGA (Rp.)</t>
  </si>
  <si>
    <t>JUMLAH</t>
  </si>
  <si>
    <t>PEKERJAAN JALAN FLEXIBLE PAVEMENT</t>
  </si>
  <si>
    <t>DIV.1</t>
  </si>
  <si>
    <t>UMUM</t>
  </si>
  <si>
    <t>Mobilisasi</t>
  </si>
  <si>
    <t>ls</t>
  </si>
  <si>
    <t>Manajemen dan Keselamatan Lalu Lintas</t>
  </si>
  <si>
    <t>Manajemen Mutu</t>
  </si>
  <si>
    <t>Pengeboran, termasuk SPT dan Laporan</t>
  </si>
  <si>
    <t>m'</t>
  </si>
  <si>
    <t>Sondir termasuk Laporan</t>
  </si>
  <si>
    <t>DIV.2</t>
  </si>
  <si>
    <t>PEKERJAAN DRAINASE</t>
  </si>
  <si>
    <t>Galian untuk drainase selokan dan saluran air</t>
  </si>
  <si>
    <t>m3</t>
  </si>
  <si>
    <t>Pasangan batu dengan mortar</t>
  </si>
  <si>
    <t>Gorong-gorong pipa beton bertulang, diamter dalam 75 - 85 cm</t>
  </si>
  <si>
    <t>Beton K250 (f'c 20) untuk Drainase</t>
  </si>
  <si>
    <t>DIV.3</t>
  </si>
  <si>
    <t>PEKERJAAN TANAH</t>
  </si>
  <si>
    <t>Galian Biasa</t>
  </si>
  <si>
    <t>Galian Struktur dengan kedalaman 0 - 2 m</t>
  </si>
  <si>
    <t>Galian Struktur dengan kedalaman 2 - 4 m</t>
  </si>
  <si>
    <t>Timbunan Biasa</t>
  </si>
  <si>
    <t>Timbunan Pilihan</t>
  </si>
  <si>
    <t>Penyiapan Badan Jalan</t>
  </si>
  <si>
    <t>m2</t>
  </si>
  <si>
    <t>DIV.4</t>
  </si>
  <si>
    <t>PELEBARAN PERKERASAN DAN BAHU JALAN</t>
  </si>
  <si>
    <t>Lapis Pondasi Agregat Kelas A</t>
  </si>
  <si>
    <t>Lapis Pondasi Agregat Kelas S Bahu Jalan</t>
  </si>
  <si>
    <t>DIV.5</t>
  </si>
  <si>
    <t>PERKERASAN BERBUTIR</t>
  </si>
  <si>
    <t>Lapis Pondasi Agregat Kelas B</t>
  </si>
  <si>
    <t>DIV.6</t>
  </si>
  <si>
    <t>PERKERASAN ASPAL</t>
  </si>
  <si>
    <t>Lapis Resap Pengikat - Aspal Cair</t>
  </si>
  <si>
    <t>liter</t>
  </si>
  <si>
    <t>Lapis Perekat - Aspal Cair</t>
  </si>
  <si>
    <t>Laston Lapis Pondasi (AC-Base)</t>
  </si>
  <si>
    <t>ton</t>
  </si>
  <si>
    <t>Laston Lapis Antara (AC-BC)</t>
  </si>
  <si>
    <t>Laston Lapis Aus (AC-WC)</t>
  </si>
  <si>
    <t>DIV.7</t>
  </si>
  <si>
    <t>STRUKTUR</t>
  </si>
  <si>
    <t>Pekerjaan Beton Talud</t>
  </si>
  <si>
    <t>Baja Tulangan</t>
  </si>
  <si>
    <t>kg</t>
  </si>
  <si>
    <t>Beton f'c 20 MPa</t>
  </si>
  <si>
    <t>Pasangan Batu</t>
  </si>
  <si>
    <t>DIV.8</t>
  </si>
  <si>
    <t>PENGEMBALIAN KONDISI DAN PEKERJAAN MINOR</t>
  </si>
  <si>
    <t>Marka Jalan Termoplastik</t>
  </si>
  <si>
    <t>Residu Bitumen untuk Pekerjaan Minor</t>
  </si>
  <si>
    <t>Rambu Jalan Tunggal dengan Permukaan Pemantul Engineer Grade</t>
  </si>
  <si>
    <t>buah</t>
  </si>
  <si>
    <t>Patok Pengarah</t>
  </si>
  <si>
    <t>Patok Kilometer</t>
  </si>
  <si>
    <t>Kerb Pracetak Jenis 1 (Peninggi/Mountable)</t>
  </si>
  <si>
    <t>Unit Lampu Penerangan Jalan Lengan Ganda Tipe Merkuri 250 watt</t>
  </si>
  <si>
    <t>DIV.9</t>
  </si>
  <si>
    <t>PEKERJAAN PEMELIHARAAN RUTIN</t>
  </si>
  <si>
    <t>Pemeliharaan Rutin Bahu Jalan</t>
  </si>
  <si>
    <t>Pemeliharaan Rutin Saluran Air</t>
  </si>
  <si>
    <t>Pemeliharaan Rutin Perlengkapan Jalan</t>
  </si>
  <si>
    <t>TOTAL</t>
  </si>
  <si>
    <t>KORPS ASISTEN TEKNIK SIPIL</t>
  </si>
  <si>
    <t>FAKULTAS TEKNIK</t>
  </si>
  <si>
    <t>UNIVERSITAS MUHAMMADIYAH YOGYAKARTA</t>
  </si>
  <si>
    <t>Status : Terakreditasi Peringkat A (SK BAN – PT No. 4591/SK/BAN PT/Akreditasi/S/XII/2017,Tanggal 24 Oktober 2017)</t>
  </si>
  <si>
    <t>Alamat : Jl. Brawijaya, Tamantirto, Kasihan, Bantul, Yogyakarta 55183, Telp. 0274-387656 (Hunting),  Fax. 0274-387646, Pswt. 233</t>
  </si>
  <si>
    <t>Rencana</t>
  </si>
  <si>
    <t>Kumulatif</t>
  </si>
  <si>
    <t>SOAL GENAP MANAJEMEN KONSTRUKSI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</si>
</sst>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164" fontId="4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164" fontId="3" fillId="2" borderId="1" xfId="2" applyFont="1" applyFill="1" applyBorder="1" applyAlignment="1">
      <alignment horizontal="center" vertical="center"/>
    </xf>
    <xf numFmtId="164" fontId="3" fillId="2" borderId="3" xfId="2" applyFont="1" applyFill="1" applyBorder="1" applyAlignment="1">
      <alignment vertical="center"/>
    </xf>
    <xf numFmtId="0" fontId="5" fillId="0" borderId="1" xfId="3" applyFont="1" applyBorder="1"/>
    <xf numFmtId="0" fontId="5" fillId="0" borderId="1" xfId="3" applyFont="1" applyBorder="1" applyAlignment="1">
      <alignment horizontal="center"/>
    </xf>
    <xf numFmtId="0" fontId="5" fillId="0" borderId="3" xfId="3" applyFont="1" applyBorder="1"/>
    <xf numFmtId="164" fontId="7" fillId="0" borderId="1" xfId="2" applyFont="1" applyBorder="1" applyAlignment="1">
      <alignment horizontal="center" vertical="center"/>
    </xf>
    <xf numFmtId="0" fontId="5" fillId="0" borderId="3" xfId="3" applyFont="1" applyBorder="1" applyAlignment="1">
      <alignment horizontal="center"/>
    </xf>
    <xf numFmtId="164" fontId="7" fillId="0" borderId="1" xfId="2" applyFont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1" fontId="7" fillId="2" borderId="1" xfId="3" applyNumberFormat="1" applyFont="1" applyFill="1" applyBorder="1" applyAlignment="1">
      <alignment horizontal="right" vertical="center"/>
    </xf>
    <xf numFmtId="0" fontId="7" fillId="2" borderId="3" xfId="3" applyFont="1" applyFill="1" applyBorder="1" applyAlignment="1">
      <alignment horizontal="center" vertical="center"/>
    </xf>
    <xf numFmtId="0" fontId="7" fillId="0" borderId="1" xfId="3" applyFont="1" applyBorder="1" applyAlignment="1">
      <alignment vertical="center"/>
    </xf>
    <xf numFmtId="0" fontId="7" fillId="0" borderId="3" xfId="3" applyFont="1" applyBorder="1" applyAlignment="1">
      <alignment horizontal="center" vertical="center"/>
    </xf>
    <xf numFmtId="164" fontId="5" fillId="0" borderId="1" xfId="2" applyFont="1" applyBorder="1" applyAlignment="1">
      <alignment vertical="center"/>
    </xf>
    <xf numFmtId="164" fontId="7" fillId="0" borderId="2" xfId="2" applyFont="1" applyBorder="1" applyAlignment="1">
      <alignment vertical="center"/>
    </xf>
    <xf numFmtId="0" fontId="7" fillId="0" borderId="9" xfId="3" applyFont="1" applyBorder="1" applyAlignment="1">
      <alignment horizontal="left" vertical="center"/>
    </xf>
    <xf numFmtId="0" fontId="7" fillId="0" borderId="1" xfId="3" applyFont="1" applyBorder="1" applyAlignment="1">
      <alignment horizontal="center" vertical="center"/>
    </xf>
    <xf numFmtId="0" fontId="5" fillId="0" borderId="16" xfId="0" applyFont="1" applyBorder="1"/>
    <xf numFmtId="0" fontId="6" fillId="3" borderId="1" xfId="3" applyFont="1" applyFill="1" applyBorder="1"/>
    <xf numFmtId="0" fontId="5" fillId="3" borderId="1" xfId="3" applyFont="1" applyFill="1" applyBorder="1" applyAlignment="1">
      <alignment horizontal="center"/>
    </xf>
    <xf numFmtId="0" fontId="5" fillId="3" borderId="3" xfId="3" applyFont="1" applyFill="1" applyBorder="1"/>
    <xf numFmtId="0" fontId="5" fillId="3" borderId="1" xfId="3" applyFont="1" applyFill="1" applyBorder="1"/>
    <xf numFmtId="164" fontId="7" fillId="3" borderId="1" xfId="3" applyNumberFormat="1" applyFont="1" applyFill="1" applyBorder="1" applyAlignment="1">
      <alignment vertical="center"/>
    </xf>
    <xf numFmtId="0" fontId="8" fillId="3" borderId="1" xfId="3" applyFont="1" applyFill="1" applyBorder="1" applyAlignment="1">
      <alignment vertical="center"/>
    </xf>
    <xf numFmtId="164" fontId="7" fillId="3" borderId="1" xfId="2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164" fontId="7" fillId="3" borderId="1" xfId="2" applyFont="1" applyFill="1" applyBorder="1" applyAlignment="1">
      <alignment vertical="center"/>
    </xf>
    <xf numFmtId="0" fontId="7" fillId="3" borderId="3" xfId="3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vertical="center"/>
    </xf>
    <xf numFmtId="0" fontId="8" fillId="3" borderId="5" xfId="3" applyFont="1" applyFill="1" applyBorder="1" applyAlignment="1">
      <alignment horizontal="left" vertical="center"/>
    </xf>
    <xf numFmtId="0" fontId="8" fillId="3" borderId="7" xfId="3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left" vertical="center"/>
    </xf>
    <xf numFmtId="0" fontId="7" fillId="3" borderId="9" xfId="3" applyFont="1" applyFill="1" applyBorder="1" applyAlignment="1">
      <alignment horizontal="left" vertical="center"/>
    </xf>
    <xf numFmtId="164" fontId="7" fillId="3" borderId="2" xfId="2" applyFont="1" applyFill="1" applyBorder="1" applyAlignment="1">
      <alignment vertical="center"/>
    </xf>
    <xf numFmtId="0" fontId="7" fillId="0" borderId="5" xfId="3" applyFont="1" applyBorder="1" applyAlignment="1">
      <alignment horizontal="left" vertical="center"/>
    </xf>
    <xf numFmtId="0" fontId="7" fillId="0" borderId="7" xfId="3" applyFont="1" applyBorder="1" applyAlignment="1">
      <alignment horizontal="left" vertical="center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164" fontId="5" fillId="0" borderId="2" xfId="3" applyNumberFormat="1" applyFont="1" applyBorder="1" applyAlignment="1">
      <alignment horizontal="center" vertical="center"/>
    </xf>
    <xf numFmtId="164" fontId="5" fillId="0" borderId="13" xfId="3" applyNumberFormat="1" applyFont="1" applyBorder="1" applyAlignment="1">
      <alignment horizontal="center" vertical="center"/>
    </xf>
    <xf numFmtId="164" fontId="5" fillId="0" borderId="4" xfId="3" applyNumberFormat="1" applyFont="1" applyBorder="1" applyAlignment="1">
      <alignment horizontal="center" vertical="center"/>
    </xf>
    <xf numFmtId="0" fontId="7" fillId="0" borderId="3" xfId="3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2" xfId="2" applyFont="1" applyFill="1" applyBorder="1" applyAlignment="1">
      <alignment horizontal="center" vertical="center"/>
    </xf>
    <xf numFmtId="164" fontId="3" fillId="2" borderId="4" xfId="2" applyFont="1" applyFill="1" applyBorder="1" applyAlignment="1">
      <alignment horizontal="center" vertical="center"/>
    </xf>
    <xf numFmtId="164" fontId="3" fillId="2" borderId="2" xfId="2" applyFont="1" applyFill="1" applyBorder="1" applyAlignment="1">
      <alignment horizontal="center" vertical="center" wrapText="1"/>
    </xf>
    <xf numFmtId="164" fontId="3" fillId="2" borderId="4" xfId="2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left" vertical="center"/>
    </xf>
    <xf numFmtId="0" fontId="8" fillId="3" borderId="5" xfId="3" applyFont="1" applyFill="1" applyBorder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8" fillId="0" borderId="1" xfId="3" applyFont="1" applyBorder="1" applyAlignment="1">
      <alignment horizontal="left" vertical="center"/>
    </xf>
    <xf numFmtId="0" fontId="8" fillId="0" borderId="5" xfId="3" applyFont="1" applyBorder="1" applyAlignment="1">
      <alignment horizontal="left" vertical="center"/>
    </xf>
    <xf numFmtId="0" fontId="8" fillId="3" borderId="7" xfId="3" applyFont="1" applyFill="1" applyBorder="1" applyAlignment="1">
      <alignment horizontal="left" vertical="center"/>
    </xf>
    <xf numFmtId="0" fontId="8" fillId="3" borderId="3" xfId="3" applyFont="1" applyFill="1" applyBorder="1" applyAlignment="1">
      <alignment horizontal="left" vertical="center"/>
    </xf>
    <xf numFmtId="0" fontId="5" fillId="0" borderId="5" xfId="3" applyFont="1" applyBorder="1" applyAlignment="1">
      <alignment horizontal="left"/>
    </xf>
    <xf numFmtId="0" fontId="5" fillId="0" borderId="7" xfId="3" applyFont="1" applyBorder="1" applyAlignment="1">
      <alignment horizontal="left"/>
    </xf>
    <xf numFmtId="0" fontId="5" fillId="0" borderId="1" xfId="3" applyFont="1" applyBorder="1" applyAlignment="1">
      <alignment horizontal="left"/>
    </xf>
    <xf numFmtId="0" fontId="6" fillId="3" borderId="1" xfId="3" applyFont="1" applyFill="1" applyBorder="1" applyAlignment="1">
      <alignment horizontal="left"/>
    </xf>
    <xf numFmtId="0" fontId="6" fillId="3" borderId="5" xfId="3" applyFont="1" applyFill="1" applyBorder="1" applyAlignment="1">
      <alignment horizontal="left"/>
    </xf>
    <xf numFmtId="0" fontId="6" fillId="0" borderId="0" xfId="0" applyFont="1" applyAlignment="1">
      <alignment horizontal="center"/>
    </xf>
  </cellXfs>
  <cellStyles count="4">
    <cellStyle name="Comma 2" xfId="2" xr:uid="{A0B400D5-14FF-4D65-A4E6-E092311D864E}"/>
    <cellStyle name="Normal" xfId="0" builtinId="0"/>
    <cellStyle name="Normal 2 2" xfId="1" xr:uid="{97A05ED6-01D3-4283-A23D-23FA17C38061}"/>
    <cellStyle name="Normal 3" xfId="3" xr:uid="{572AF3F7-9208-4761-8803-FF15D39AB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142351</xdr:colOff>
      <xdr:row>0</xdr:row>
      <xdr:rowOff>41868</xdr:rowOff>
    </xdr:from>
    <xdr:to>
      <xdr:col>2</xdr:col>
      <xdr:colOff>82682</xdr:colOff>
      <xdr:row>3</xdr:row>
      <xdr:rowOff>120988</xdr:rowOff>
    </xdr:to>
    <xdr:pic>
      <xdr:nvPicPr>
        <xdr:cNvPr id="4" name="Picture 3" descr="umy">
          <a:extLst>
            <a:ext uri="{FF2B5EF4-FFF2-40B4-BE49-F238E27FC236}">
              <a16:creationId xmlns:a16="http://schemas.microsoft.com/office/drawing/2014/main" id="{071EED6C-96D3-49DF-ABC4-300F6741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351" y="41868"/>
          <a:ext cx="551606" cy="6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DADB-1D9D-445D-8230-81A5563FACA5}">
  <dimension ref="B1:I63"/>
  <sheetViews>
    <sheetView tabSelected="1" zoomScale="59" zoomScaleNormal="66" workbookViewId="0">
      <selection activeCell="H5" sqref="H5"/>
    </sheetView>
  </sheetViews>
  <sheetFormatPr defaultRowHeight="14.4" x14ac:dyDescent="0.3"/>
  <cols>
    <col min="2" max="2" width="9" bestFit="1" customWidth="1"/>
    <col min="4" max="4" width="81.109375" customWidth="1"/>
    <col min="6" max="6" width="11.44140625" bestFit="1" customWidth="1"/>
    <col min="7" max="7" width="11.21875" bestFit="1" customWidth="1"/>
    <col min="8" max="8" width="19.21875" bestFit="1" customWidth="1"/>
    <col min="9" max="9" width="19.6640625" bestFit="1" customWidth="1"/>
  </cols>
  <sheetData>
    <row r="1" spans="2:9" ht="15.6" customHeight="1" x14ac:dyDescent="0.3">
      <c r="B1" s="58" t="s">
        <v>71</v>
      </c>
      <c r="C1" s="58"/>
      <c r="D1" s="58"/>
      <c r="E1" s="58"/>
      <c r="F1" s="58"/>
      <c r="G1" s="58"/>
      <c r="H1" s="58"/>
    </row>
    <row r="2" spans="2:9" ht="14.4" customHeight="1" x14ac:dyDescent="0.3">
      <c r="B2" s="58" t="s">
        <v>72</v>
      </c>
      <c r="C2" s="58"/>
      <c r="D2" s="58"/>
      <c r="E2" s="58"/>
      <c r="F2" s="58"/>
      <c r="G2" s="58"/>
      <c r="H2" s="58"/>
    </row>
    <row r="3" spans="2:9" ht="14.4" customHeight="1" x14ac:dyDescent="0.3">
      <c r="B3" s="58" t="s">
        <v>73</v>
      </c>
      <c r="C3" s="58"/>
      <c r="D3" s="58"/>
      <c r="E3" s="58"/>
      <c r="F3" s="58"/>
      <c r="G3" s="58"/>
      <c r="H3" s="58"/>
    </row>
    <row r="4" spans="2:9" ht="14.4" customHeight="1" x14ac:dyDescent="0.3">
      <c r="B4" s="58" t="s">
        <v>74</v>
      </c>
      <c r="C4" s="58"/>
      <c r="D4" s="58"/>
      <c r="E4" s="58"/>
      <c r="F4" s="58"/>
      <c r="G4" s="58"/>
      <c r="H4" s="58"/>
    </row>
    <row r="5" spans="2:9" ht="14.4" customHeight="1" thickBot="1" x14ac:dyDescent="0.35">
      <c r="B5" s="18" t="s">
        <v>75</v>
      </c>
      <c r="C5" s="18"/>
      <c r="D5" s="18"/>
      <c r="E5" s="18"/>
      <c r="F5" s="18"/>
      <c r="G5" s="18"/>
      <c r="H5" s="18"/>
    </row>
    <row r="6" spans="2:9" ht="15" thickTop="1" x14ac:dyDescent="0.3"/>
    <row r="7" spans="2:9" ht="15.6" x14ac:dyDescent="0.3">
      <c r="D7" s="68" t="s">
        <v>78</v>
      </c>
      <c r="E7" s="68"/>
      <c r="F7" s="68"/>
      <c r="G7" s="68"/>
      <c r="H7" s="68"/>
    </row>
    <row r="9" spans="2:9" ht="15.6" x14ac:dyDescent="0.3">
      <c r="B9" s="50" t="s">
        <v>0</v>
      </c>
      <c r="C9" s="50" t="s">
        <v>1</v>
      </c>
      <c r="D9" s="50"/>
      <c r="E9" s="50"/>
      <c r="F9" s="51" t="s">
        <v>2</v>
      </c>
      <c r="G9" s="53" t="s">
        <v>3</v>
      </c>
      <c r="H9" s="1" t="s">
        <v>4</v>
      </c>
      <c r="I9" s="2"/>
    </row>
    <row r="10" spans="2:9" ht="15.6" x14ac:dyDescent="0.3">
      <c r="B10" s="50"/>
      <c r="C10" s="50"/>
      <c r="D10" s="50"/>
      <c r="E10" s="50"/>
      <c r="F10" s="52"/>
      <c r="G10" s="54"/>
      <c r="H10" s="1" t="s">
        <v>3</v>
      </c>
      <c r="I10" s="1" t="s">
        <v>5</v>
      </c>
    </row>
    <row r="11" spans="2:9" ht="15.6" x14ac:dyDescent="0.3">
      <c r="B11" s="3"/>
      <c r="C11" s="65" t="s">
        <v>6</v>
      </c>
      <c r="D11" s="65"/>
      <c r="E11" s="63"/>
      <c r="F11" s="4"/>
      <c r="G11" s="5"/>
      <c r="H11" s="3"/>
      <c r="I11" s="3"/>
    </row>
    <row r="12" spans="2:9" ht="15.6" x14ac:dyDescent="0.3">
      <c r="B12" s="19" t="s">
        <v>7</v>
      </c>
      <c r="C12" s="66" t="s">
        <v>8</v>
      </c>
      <c r="D12" s="66"/>
      <c r="E12" s="67"/>
      <c r="F12" s="20"/>
      <c r="G12" s="21"/>
      <c r="H12" s="22"/>
      <c r="I12" s="23"/>
    </row>
    <row r="13" spans="2:9" ht="15.6" x14ac:dyDescent="0.3">
      <c r="B13" s="3">
        <v>1</v>
      </c>
      <c r="C13" s="63" t="s">
        <v>9</v>
      </c>
      <c r="D13" s="64"/>
      <c r="E13" s="64"/>
      <c r="F13" s="6">
        <v>1</v>
      </c>
      <c r="G13" s="7" t="s">
        <v>10</v>
      </c>
      <c r="H13" s="8">
        <v>695640000</v>
      </c>
      <c r="I13" s="9">
        <f>H13*F13</f>
        <v>695640000</v>
      </c>
    </row>
    <row r="14" spans="2:9" ht="15.6" x14ac:dyDescent="0.3">
      <c r="B14" s="3">
        <v>2</v>
      </c>
      <c r="C14" s="63" t="s">
        <v>11</v>
      </c>
      <c r="D14" s="64"/>
      <c r="E14" s="64"/>
      <c r="F14" s="6">
        <v>1</v>
      </c>
      <c r="G14" s="7" t="s">
        <v>10</v>
      </c>
      <c r="H14" s="8">
        <v>86943000</v>
      </c>
      <c r="I14" s="9">
        <f>H14*F14</f>
        <v>86943000</v>
      </c>
    </row>
    <row r="15" spans="2:9" ht="15.6" x14ac:dyDescent="0.3">
      <c r="B15" s="3">
        <v>3</v>
      </c>
      <c r="C15" s="63" t="s">
        <v>12</v>
      </c>
      <c r="D15" s="64"/>
      <c r="E15" s="64"/>
      <c r="F15" s="6">
        <v>1</v>
      </c>
      <c r="G15" s="7" t="s">
        <v>10</v>
      </c>
      <c r="H15" s="8">
        <v>66798000</v>
      </c>
      <c r="I15" s="9">
        <f>H15*F15</f>
        <v>66798000</v>
      </c>
    </row>
    <row r="16" spans="2:9" ht="15.6" x14ac:dyDescent="0.3">
      <c r="B16" s="3">
        <v>4</v>
      </c>
      <c r="C16" s="63" t="s">
        <v>13</v>
      </c>
      <c r="D16" s="64"/>
      <c r="E16" s="64"/>
      <c r="F16" s="6">
        <v>320</v>
      </c>
      <c r="G16" s="7" t="s">
        <v>14</v>
      </c>
      <c r="H16" s="8">
        <v>488867.5</v>
      </c>
      <c r="I16" s="9">
        <f>H16*F16</f>
        <v>156437600</v>
      </c>
    </row>
    <row r="17" spans="2:9" ht="15.6" x14ac:dyDescent="0.3">
      <c r="B17" s="10">
        <v>5</v>
      </c>
      <c r="C17" s="63" t="s">
        <v>15</v>
      </c>
      <c r="D17" s="64"/>
      <c r="E17" s="64"/>
      <c r="F17" s="6">
        <v>120</v>
      </c>
      <c r="G17" s="11" t="s">
        <v>14</v>
      </c>
      <c r="H17" s="8">
        <v>247280</v>
      </c>
      <c r="I17" s="9">
        <f>H17*F17</f>
        <v>29673600</v>
      </c>
    </row>
    <row r="18" spans="2:9" ht="15.6" x14ac:dyDescent="0.3">
      <c r="B18" s="24" t="s">
        <v>16</v>
      </c>
      <c r="C18" s="55" t="s">
        <v>17</v>
      </c>
      <c r="D18" s="55"/>
      <c r="E18" s="56"/>
      <c r="F18" s="25"/>
      <c r="G18" s="26"/>
      <c r="H18" s="27"/>
      <c r="I18" s="23"/>
    </row>
    <row r="19" spans="2:9" ht="15.6" x14ac:dyDescent="0.3">
      <c r="B19" s="12">
        <v>6</v>
      </c>
      <c r="C19" s="57" t="s">
        <v>18</v>
      </c>
      <c r="D19" s="57"/>
      <c r="E19" s="35"/>
      <c r="F19" s="6">
        <v>9464</v>
      </c>
      <c r="G19" s="13" t="s">
        <v>19</v>
      </c>
      <c r="H19" s="8">
        <v>48405.97</v>
      </c>
      <c r="I19" s="8">
        <f>H19*F19</f>
        <v>458114100.07999998</v>
      </c>
    </row>
    <row r="20" spans="2:9" ht="15.6" x14ac:dyDescent="0.3">
      <c r="B20" s="12">
        <v>7</v>
      </c>
      <c r="C20" s="57" t="s">
        <v>20</v>
      </c>
      <c r="D20" s="57"/>
      <c r="E20" s="35"/>
      <c r="F20" s="6">
        <v>4056</v>
      </c>
      <c r="G20" s="13" t="s">
        <v>19</v>
      </c>
      <c r="H20" s="8">
        <v>885864.01</v>
      </c>
      <c r="I20" s="8">
        <f t="shared" ref="I20:I21" si="0">H20*F20</f>
        <v>3593064424.5599999</v>
      </c>
    </row>
    <row r="21" spans="2:9" ht="15.6" x14ac:dyDescent="0.3">
      <c r="B21" s="12">
        <v>8</v>
      </c>
      <c r="C21" s="57" t="s">
        <v>21</v>
      </c>
      <c r="D21" s="57"/>
      <c r="E21" s="35"/>
      <c r="F21" s="6">
        <v>220</v>
      </c>
      <c r="G21" s="13" t="s">
        <v>14</v>
      </c>
      <c r="H21" s="8">
        <v>2376101.9700000002</v>
      </c>
      <c r="I21" s="8">
        <f t="shared" si="0"/>
        <v>522742433.40000004</v>
      </c>
    </row>
    <row r="22" spans="2:9" ht="15.6" x14ac:dyDescent="0.3">
      <c r="B22" s="12">
        <v>9</v>
      </c>
      <c r="C22" s="57" t="s">
        <v>22</v>
      </c>
      <c r="D22" s="57"/>
      <c r="E22" s="35"/>
      <c r="F22" s="6">
        <v>223.5</v>
      </c>
      <c r="G22" s="13" t="s">
        <v>19</v>
      </c>
      <c r="H22" s="8">
        <v>1931877.77</v>
      </c>
      <c r="I22" s="8">
        <f>H22*F22</f>
        <v>431774681.59500003</v>
      </c>
    </row>
    <row r="23" spans="2:9" ht="15.6" x14ac:dyDescent="0.3">
      <c r="B23" s="24" t="s">
        <v>23</v>
      </c>
      <c r="C23" s="55" t="s">
        <v>24</v>
      </c>
      <c r="D23" s="55"/>
      <c r="E23" s="56"/>
      <c r="F23" s="25"/>
      <c r="G23" s="28"/>
      <c r="H23" s="27"/>
      <c r="I23" s="23"/>
    </row>
    <row r="24" spans="2:9" ht="15.6" x14ac:dyDescent="0.3">
      <c r="B24" s="12">
        <v>10</v>
      </c>
      <c r="C24" s="57" t="s">
        <v>25</v>
      </c>
      <c r="D24" s="57"/>
      <c r="E24" s="35"/>
      <c r="F24" s="6">
        <v>76817.64</v>
      </c>
      <c r="G24" s="13" t="s">
        <v>19</v>
      </c>
      <c r="H24" s="8">
        <v>35243.660000000003</v>
      </c>
      <c r="I24" s="8">
        <f t="shared" ref="I24:I29" si="1">H24*F24</f>
        <v>2707334786.1624002</v>
      </c>
    </row>
    <row r="25" spans="2:9" ht="15.6" x14ac:dyDescent="0.3">
      <c r="B25" s="12">
        <v>11</v>
      </c>
      <c r="C25" s="57" t="s">
        <v>26</v>
      </c>
      <c r="D25" s="57"/>
      <c r="E25" s="35"/>
      <c r="F25" s="6">
        <v>236.4</v>
      </c>
      <c r="G25" s="13" t="s">
        <v>19</v>
      </c>
      <c r="H25" s="8">
        <v>18543.939999999999</v>
      </c>
      <c r="I25" s="8">
        <f t="shared" si="1"/>
        <v>4383787.4160000002</v>
      </c>
    </row>
    <row r="26" spans="2:9" ht="15.6" x14ac:dyDescent="0.3">
      <c r="B26" s="12">
        <v>12</v>
      </c>
      <c r="C26" s="57" t="s">
        <v>27</v>
      </c>
      <c r="D26" s="57"/>
      <c r="E26" s="35"/>
      <c r="F26" s="6">
        <v>302.11</v>
      </c>
      <c r="G26" s="13" t="s">
        <v>19</v>
      </c>
      <c r="H26" s="8">
        <v>132617.85</v>
      </c>
      <c r="I26" s="8">
        <f t="shared" si="1"/>
        <v>40065178.663500004</v>
      </c>
    </row>
    <row r="27" spans="2:9" ht="15.6" x14ac:dyDescent="0.3">
      <c r="B27" s="12">
        <v>13</v>
      </c>
      <c r="C27" s="35" t="s">
        <v>28</v>
      </c>
      <c r="D27" s="36"/>
      <c r="E27" s="36"/>
      <c r="F27" s="6">
        <v>62412</v>
      </c>
      <c r="G27" s="13" t="s">
        <v>19</v>
      </c>
      <c r="H27" s="8">
        <v>41678.81</v>
      </c>
      <c r="I27" s="8">
        <f t="shared" si="1"/>
        <v>2601257889.7199998</v>
      </c>
    </row>
    <row r="28" spans="2:9" ht="15.6" x14ac:dyDescent="0.3">
      <c r="B28" s="12">
        <v>14</v>
      </c>
      <c r="C28" s="35" t="s">
        <v>29</v>
      </c>
      <c r="D28" s="36"/>
      <c r="E28" s="36"/>
      <c r="F28" s="6">
        <v>32664.9</v>
      </c>
      <c r="G28" s="13" t="s">
        <v>19</v>
      </c>
      <c r="H28" s="8">
        <v>83487.58</v>
      </c>
      <c r="I28" s="8">
        <f t="shared" si="1"/>
        <v>2727113451.9420004</v>
      </c>
    </row>
    <row r="29" spans="2:9" ht="15.6" x14ac:dyDescent="0.3">
      <c r="B29" s="12">
        <v>15</v>
      </c>
      <c r="C29" s="35" t="s">
        <v>30</v>
      </c>
      <c r="D29" s="36"/>
      <c r="E29" s="36"/>
      <c r="F29" s="6">
        <v>3600.82</v>
      </c>
      <c r="G29" s="13" t="s">
        <v>31</v>
      </c>
      <c r="H29" s="8">
        <v>34143.129999999997</v>
      </c>
      <c r="I29" s="8">
        <f t="shared" si="1"/>
        <v>122943265.36659999</v>
      </c>
    </row>
    <row r="30" spans="2:9" ht="15.6" x14ac:dyDescent="0.3">
      <c r="B30" s="24" t="s">
        <v>32</v>
      </c>
      <c r="C30" s="56" t="s">
        <v>33</v>
      </c>
      <c r="D30" s="61"/>
      <c r="E30" s="62"/>
      <c r="F30" s="25"/>
      <c r="G30" s="28"/>
      <c r="H30" s="27"/>
      <c r="I30" s="27"/>
    </row>
    <row r="31" spans="2:9" ht="15.6" x14ac:dyDescent="0.3">
      <c r="B31" s="12">
        <v>16</v>
      </c>
      <c r="C31" s="57" t="s">
        <v>34</v>
      </c>
      <c r="D31" s="57"/>
      <c r="E31" s="35"/>
      <c r="F31" s="6">
        <v>2704</v>
      </c>
      <c r="G31" s="13" t="s">
        <v>19</v>
      </c>
      <c r="H31" s="8">
        <v>424071.91190485103</v>
      </c>
      <c r="I31" s="8">
        <f>H31*F31</f>
        <v>1146690449.7907171</v>
      </c>
    </row>
    <row r="32" spans="2:9" ht="15.6" x14ac:dyDescent="0.3">
      <c r="B32" s="12">
        <v>17</v>
      </c>
      <c r="C32" s="35" t="s">
        <v>35</v>
      </c>
      <c r="D32" s="36"/>
      <c r="E32" s="49"/>
      <c r="F32" s="6">
        <v>5408</v>
      </c>
      <c r="G32" s="13" t="s">
        <v>19</v>
      </c>
      <c r="H32" s="8">
        <v>410738.08</v>
      </c>
      <c r="I32" s="8">
        <f>H32*F32</f>
        <v>2221271536.6399999</v>
      </c>
    </row>
    <row r="33" spans="2:9" ht="15.6" x14ac:dyDescent="0.3">
      <c r="B33" s="24" t="s">
        <v>36</v>
      </c>
      <c r="C33" s="56" t="s">
        <v>37</v>
      </c>
      <c r="D33" s="61"/>
      <c r="E33" s="62"/>
      <c r="F33" s="25"/>
      <c r="G33" s="28"/>
      <c r="H33" s="27"/>
      <c r="I33" s="27"/>
    </row>
    <row r="34" spans="2:9" ht="15.6" x14ac:dyDescent="0.3">
      <c r="B34" s="12">
        <v>18</v>
      </c>
      <c r="C34" s="57" t="s">
        <v>34</v>
      </c>
      <c r="D34" s="57"/>
      <c r="E34" s="35"/>
      <c r="F34" s="6">
        <v>19604</v>
      </c>
      <c r="G34" s="13" t="s">
        <v>19</v>
      </c>
      <c r="H34" s="8">
        <v>421092.88</v>
      </c>
      <c r="I34" s="14">
        <f>H34*F34</f>
        <v>8255104819.5200005</v>
      </c>
    </row>
    <row r="35" spans="2:9" ht="15.6" x14ac:dyDescent="0.3">
      <c r="B35" s="12">
        <v>19</v>
      </c>
      <c r="C35" s="35" t="s">
        <v>38</v>
      </c>
      <c r="D35" s="36"/>
      <c r="E35" s="36"/>
      <c r="F35" s="6">
        <v>34307</v>
      </c>
      <c r="G35" s="13" t="s">
        <v>19</v>
      </c>
      <c r="H35" s="8">
        <v>408127.64</v>
      </c>
      <c r="I35" s="14">
        <f>H35*F35</f>
        <v>14001634945.48</v>
      </c>
    </row>
    <row r="36" spans="2:9" ht="15.6" x14ac:dyDescent="0.3">
      <c r="B36" s="24" t="s">
        <v>39</v>
      </c>
      <c r="C36" s="56" t="s">
        <v>40</v>
      </c>
      <c r="D36" s="61"/>
      <c r="E36" s="61"/>
      <c r="F36" s="25"/>
      <c r="G36" s="28"/>
      <c r="H36" s="27"/>
      <c r="I36" s="29"/>
    </row>
    <row r="37" spans="2:9" ht="15.6" x14ac:dyDescent="0.3">
      <c r="B37" s="12">
        <v>20</v>
      </c>
      <c r="C37" s="35" t="s">
        <v>41</v>
      </c>
      <c r="D37" s="36"/>
      <c r="E37" s="36"/>
      <c r="F37" s="6">
        <v>4907.3999999999996</v>
      </c>
      <c r="G37" s="13" t="s">
        <v>42</v>
      </c>
      <c r="H37" s="8">
        <v>13804.4</v>
      </c>
      <c r="I37" s="14">
        <f>H37*F37</f>
        <v>67743712.559999987</v>
      </c>
    </row>
    <row r="38" spans="2:9" ht="15.6" x14ac:dyDescent="0.3">
      <c r="B38" s="12">
        <v>21</v>
      </c>
      <c r="C38" s="35" t="s">
        <v>43</v>
      </c>
      <c r="D38" s="36"/>
      <c r="E38" s="36"/>
      <c r="F38" s="6">
        <v>5359</v>
      </c>
      <c r="G38" s="13" t="s">
        <v>42</v>
      </c>
      <c r="H38" s="8">
        <v>14070.73</v>
      </c>
      <c r="I38" s="14">
        <f t="shared" ref="I38:I41" si="2">H38*F38</f>
        <v>75405042.069999993</v>
      </c>
    </row>
    <row r="39" spans="2:9" ht="15.6" x14ac:dyDescent="0.3">
      <c r="B39" s="12">
        <v>22</v>
      </c>
      <c r="C39" s="35" t="s">
        <v>44</v>
      </c>
      <c r="D39" s="36"/>
      <c r="E39" s="36"/>
      <c r="F39" s="6">
        <v>8188.3140000000003</v>
      </c>
      <c r="G39" s="13" t="s">
        <v>45</v>
      </c>
      <c r="H39" s="8">
        <v>1534374.8480120287</v>
      </c>
      <c r="I39" s="14">
        <f t="shared" si="2"/>
        <v>12563943049.224768</v>
      </c>
    </row>
    <row r="40" spans="2:9" ht="15.6" x14ac:dyDescent="0.3">
      <c r="B40" s="12">
        <v>23</v>
      </c>
      <c r="C40" s="57" t="s">
        <v>46</v>
      </c>
      <c r="D40" s="57"/>
      <c r="E40" s="35"/>
      <c r="F40" s="6">
        <v>2005.308</v>
      </c>
      <c r="G40" s="13" t="s">
        <v>45</v>
      </c>
      <c r="H40" s="8">
        <v>1686817.0061028514</v>
      </c>
      <c r="I40" s="14">
        <f t="shared" si="2"/>
        <v>3382587636.8740969</v>
      </c>
    </row>
    <row r="41" spans="2:9" ht="15.6" x14ac:dyDescent="0.3">
      <c r="B41" s="12">
        <v>24</v>
      </c>
      <c r="C41" s="35" t="s">
        <v>47</v>
      </c>
      <c r="D41" s="36"/>
      <c r="E41" s="36"/>
      <c r="F41" s="6">
        <v>1336.8720000000001</v>
      </c>
      <c r="G41" s="13" t="s">
        <v>45</v>
      </c>
      <c r="H41" s="8">
        <v>1774944.8892620285</v>
      </c>
      <c r="I41" s="14">
        <f t="shared" si="2"/>
        <v>2372874123.9975066</v>
      </c>
    </row>
    <row r="42" spans="2:9" ht="15.6" x14ac:dyDescent="0.3">
      <c r="B42" s="24" t="s">
        <v>48</v>
      </c>
      <c r="C42" s="55" t="s">
        <v>49</v>
      </c>
      <c r="D42" s="55"/>
      <c r="E42" s="56"/>
      <c r="F42" s="25"/>
      <c r="G42" s="28"/>
      <c r="H42" s="27"/>
      <c r="I42" s="27"/>
    </row>
    <row r="43" spans="2:9" ht="15.6" x14ac:dyDescent="0.3">
      <c r="B43" s="12"/>
      <c r="C43" s="59" t="s">
        <v>50</v>
      </c>
      <c r="D43" s="59"/>
      <c r="E43" s="60"/>
      <c r="F43" s="6"/>
      <c r="G43" s="13"/>
      <c r="H43" s="8"/>
      <c r="I43" s="14"/>
    </row>
    <row r="44" spans="2:9" ht="15.6" x14ac:dyDescent="0.3">
      <c r="B44" s="12">
        <v>25</v>
      </c>
      <c r="C44" s="57" t="s">
        <v>51</v>
      </c>
      <c r="D44" s="57"/>
      <c r="E44" s="35"/>
      <c r="F44" s="6">
        <v>1125.5999999999999</v>
      </c>
      <c r="G44" s="13" t="s">
        <v>52</v>
      </c>
      <c r="H44" s="8">
        <v>32692</v>
      </c>
      <c r="I44" s="14">
        <f>H44*F44</f>
        <v>36798115.199999996</v>
      </c>
    </row>
    <row r="45" spans="2:9" ht="15.6" x14ac:dyDescent="0.3">
      <c r="B45" s="12">
        <v>26</v>
      </c>
      <c r="C45" s="57" t="s">
        <v>53</v>
      </c>
      <c r="D45" s="57"/>
      <c r="E45" s="35"/>
      <c r="F45" s="6">
        <v>572.39</v>
      </c>
      <c r="G45" s="13" t="s">
        <v>19</v>
      </c>
      <c r="H45" s="8">
        <v>1178816.1173848382</v>
      </c>
      <c r="I45" s="14">
        <f>H45*F45</f>
        <v>674742557.42990756</v>
      </c>
    </row>
    <row r="46" spans="2:9" ht="15.6" x14ac:dyDescent="0.3">
      <c r="B46" s="12">
        <v>27</v>
      </c>
      <c r="C46" s="57" t="s">
        <v>54</v>
      </c>
      <c r="D46" s="57"/>
      <c r="E46" s="35"/>
      <c r="F46" s="6">
        <v>3462.6</v>
      </c>
      <c r="G46" s="13" t="s">
        <v>19</v>
      </c>
      <c r="H46" s="8">
        <v>1036304.18</v>
      </c>
      <c r="I46" s="14">
        <f>H46*F46</f>
        <v>3588306853.6680002</v>
      </c>
    </row>
    <row r="47" spans="2:9" ht="15.6" x14ac:dyDescent="0.3">
      <c r="B47" s="24" t="s">
        <v>55</v>
      </c>
      <c r="C47" s="30" t="s">
        <v>56</v>
      </c>
      <c r="D47" s="31"/>
      <c r="E47" s="31"/>
      <c r="F47" s="25"/>
      <c r="G47" s="28"/>
      <c r="H47" s="27"/>
      <c r="I47" s="27"/>
    </row>
    <row r="48" spans="2:9" ht="15.6" x14ac:dyDescent="0.3">
      <c r="B48" s="12">
        <v>28</v>
      </c>
      <c r="C48" s="35" t="s">
        <v>57</v>
      </c>
      <c r="D48" s="36"/>
      <c r="E48" s="36"/>
      <c r="F48" s="6">
        <v>6760</v>
      </c>
      <c r="G48" s="13" t="s">
        <v>14</v>
      </c>
      <c r="H48" s="8">
        <v>188770.76</v>
      </c>
      <c r="I48" s="8">
        <f t="shared" ref="I48:I54" si="3">H48*F48</f>
        <v>1276090337.6000001</v>
      </c>
    </row>
    <row r="49" spans="2:9" ht="15.6" x14ac:dyDescent="0.3">
      <c r="B49" s="12">
        <v>29</v>
      </c>
      <c r="C49" s="35" t="s">
        <v>58</v>
      </c>
      <c r="D49" s="36"/>
      <c r="E49" s="36"/>
      <c r="F49" s="6">
        <v>1833.2</v>
      </c>
      <c r="G49" s="13" t="s">
        <v>42</v>
      </c>
      <c r="H49" s="8">
        <v>15352.07</v>
      </c>
      <c r="I49" s="8">
        <f t="shared" si="3"/>
        <v>28143414.723999999</v>
      </c>
    </row>
    <row r="50" spans="2:9" ht="15.6" x14ac:dyDescent="0.3">
      <c r="B50" s="12">
        <v>30</v>
      </c>
      <c r="C50" s="35" t="s">
        <v>59</v>
      </c>
      <c r="D50" s="36"/>
      <c r="E50" s="36"/>
      <c r="F50" s="6">
        <v>62</v>
      </c>
      <c r="G50" s="13" t="s">
        <v>60</v>
      </c>
      <c r="H50" s="8">
        <v>928024.06029622676</v>
      </c>
      <c r="I50" s="8">
        <f t="shared" si="3"/>
        <v>57537491.73836606</v>
      </c>
    </row>
    <row r="51" spans="2:9" ht="15.6" x14ac:dyDescent="0.3">
      <c r="B51" s="12">
        <v>31</v>
      </c>
      <c r="C51" s="35" t="s">
        <v>61</v>
      </c>
      <c r="D51" s="36"/>
      <c r="E51" s="36"/>
      <c r="F51" s="6">
        <v>325</v>
      </c>
      <c r="G51" s="13" t="s">
        <v>60</v>
      </c>
      <c r="H51" s="8">
        <v>158406.70000000001</v>
      </c>
      <c r="I51" s="8">
        <f t="shared" si="3"/>
        <v>51482177.500000007</v>
      </c>
    </row>
    <row r="52" spans="2:9" ht="15.6" x14ac:dyDescent="0.3">
      <c r="B52" s="12">
        <v>32</v>
      </c>
      <c r="C52" s="35" t="s">
        <v>62</v>
      </c>
      <c r="D52" s="36"/>
      <c r="E52" s="36"/>
      <c r="F52" s="6">
        <v>68</v>
      </c>
      <c r="G52" s="13" t="s">
        <v>60</v>
      </c>
      <c r="H52" s="8">
        <v>365289.52</v>
      </c>
      <c r="I52" s="8">
        <f t="shared" si="3"/>
        <v>24839687.359999999</v>
      </c>
    </row>
    <row r="53" spans="2:9" ht="15.6" x14ac:dyDescent="0.3">
      <c r="B53" s="12">
        <v>33</v>
      </c>
      <c r="C53" s="35" t="s">
        <v>63</v>
      </c>
      <c r="D53" s="36"/>
      <c r="E53" s="36"/>
      <c r="F53" s="6">
        <v>13520</v>
      </c>
      <c r="G53" s="13" t="s">
        <v>14</v>
      </c>
      <c r="H53" s="8">
        <v>106525.23</v>
      </c>
      <c r="I53" s="15">
        <f t="shared" si="3"/>
        <v>1440221109.5999999</v>
      </c>
    </row>
    <row r="54" spans="2:9" ht="15.6" x14ac:dyDescent="0.3">
      <c r="B54" s="12">
        <v>34</v>
      </c>
      <c r="C54" s="35" t="s">
        <v>64</v>
      </c>
      <c r="D54" s="36"/>
      <c r="E54" s="36"/>
      <c r="F54" s="6">
        <v>68</v>
      </c>
      <c r="G54" s="13" t="s">
        <v>60</v>
      </c>
      <c r="H54" s="8">
        <v>8036747.3904198259</v>
      </c>
      <c r="I54" s="15">
        <f t="shared" si="3"/>
        <v>546498822.54854822</v>
      </c>
    </row>
    <row r="55" spans="2:9" ht="15.6" x14ac:dyDescent="0.3">
      <c r="B55" s="24" t="s">
        <v>65</v>
      </c>
      <c r="C55" s="32" t="s">
        <v>66</v>
      </c>
      <c r="D55" s="33"/>
      <c r="E55" s="33"/>
      <c r="F55" s="25"/>
      <c r="G55" s="28"/>
      <c r="H55" s="27"/>
      <c r="I55" s="34"/>
    </row>
    <row r="56" spans="2:9" ht="15.6" x14ac:dyDescent="0.3">
      <c r="B56" s="12">
        <v>35</v>
      </c>
      <c r="C56" s="16" t="s">
        <v>67</v>
      </c>
      <c r="D56" s="16"/>
      <c r="E56" s="16"/>
      <c r="F56" s="6">
        <v>1</v>
      </c>
      <c r="G56" s="13" t="s">
        <v>10</v>
      </c>
      <c r="H56" s="8">
        <v>18651519.300000001</v>
      </c>
      <c r="I56" s="15">
        <f>H56*F56</f>
        <v>18651519.300000001</v>
      </c>
    </row>
    <row r="57" spans="2:9" ht="15.6" x14ac:dyDescent="0.3">
      <c r="B57" s="12">
        <v>36</v>
      </c>
      <c r="C57" s="16" t="s">
        <v>68</v>
      </c>
      <c r="D57" s="16"/>
      <c r="E57" s="16"/>
      <c r="F57" s="6">
        <v>1</v>
      </c>
      <c r="G57" s="13" t="s">
        <v>10</v>
      </c>
      <c r="H57" s="8">
        <v>45402710.710000001</v>
      </c>
      <c r="I57" s="15">
        <f>H57*F57</f>
        <v>45402710.710000001</v>
      </c>
    </row>
    <row r="58" spans="2:9" ht="15.6" x14ac:dyDescent="0.3">
      <c r="B58" s="12">
        <v>37</v>
      </c>
      <c r="C58" s="35" t="s">
        <v>69</v>
      </c>
      <c r="D58" s="36"/>
      <c r="E58" s="49"/>
      <c r="F58" s="6">
        <v>1</v>
      </c>
      <c r="G58" s="17" t="s">
        <v>10</v>
      </c>
      <c r="H58" s="8">
        <v>7005317.9900000002</v>
      </c>
      <c r="I58" s="15">
        <f>H58*F58</f>
        <v>7005317.9900000002</v>
      </c>
    </row>
    <row r="59" spans="2:9" x14ac:dyDescent="0.3">
      <c r="B59" s="37" t="s">
        <v>70</v>
      </c>
      <c r="C59" s="38"/>
      <c r="D59" s="38"/>
      <c r="E59" s="38"/>
      <c r="F59" s="38"/>
      <c r="G59" s="38"/>
      <c r="H59" s="39"/>
      <c r="I59" s="46">
        <f>SUM(I11:I58)</f>
        <v>66127261630.431396</v>
      </c>
    </row>
    <row r="60" spans="2:9" x14ac:dyDescent="0.3">
      <c r="B60" s="40"/>
      <c r="C60" s="41"/>
      <c r="D60" s="41"/>
      <c r="E60" s="41"/>
      <c r="F60" s="41"/>
      <c r="G60" s="41"/>
      <c r="H60" s="42"/>
      <c r="I60" s="47"/>
    </row>
    <row r="61" spans="2:9" x14ac:dyDescent="0.3">
      <c r="B61" s="43"/>
      <c r="C61" s="44"/>
      <c r="D61" s="44"/>
      <c r="E61" s="44"/>
      <c r="F61" s="44"/>
      <c r="G61" s="44"/>
      <c r="H61" s="45"/>
      <c r="I61" s="48"/>
    </row>
    <row r="62" spans="2:9" ht="15.6" x14ac:dyDescent="0.3">
      <c r="B62" s="3"/>
      <c r="C62" s="3"/>
      <c r="D62" s="3"/>
      <c r="E62" s="3"/>
      <c r="F62" s="3"/>
      <c r="G62" s="3"/>
      <c r="H62" s="3"/>
      <c r="I62" s="3" t="s">
        <v>76</v>
      </c>
    </row>
    <row r="63" spans="2:9" ht="15.6" x14ac:dyDescent="0.3">
      <c r="B63" s="3"/>
      <c r="C63" s="3"/>
      <c r="D63" s="3"/>
      <c r="E63" s="3"/>
      <c r="F63" s="3"/>
      <c r="G63" s="3"/>
      <c r="H63" s="3"/>
      <c r="I63" s="3" t="s">
        <v>77</v>
      </c>
    </row>
  </sheetData>
  <mergeCells count="55">
    <mergeCell ref="D7:H7"/>
    <mergeCell ref="C30:E30"/>
    <mergeCell ref="C31:E31"/>
    <mergeCell ref="C32:E32"/>
    <mergeCell ref="C33:E33"/>
    <mergeCell ref="C22:E22"/>
    <mergeCell ref="C24:E24"/>
    <mergeCell ref="C26:E26"/>
    <mergeCell ref="C28:E28"/>
    <mergeCell ref="C29:E29"/>
    <mergeCell ref="C27:E27"/>
    <mergeCell ref="C34:E34"/>
    <mergeCell ref="C35:E35"/>
    <mergeCell ref="C36:E36"/>
    <mergeCell ref="C37:E37"/>
    <mergeCell ref="C38:E38"/>
    <mergeCell ref="C51:E51"/>
    <mergeCell ref="C39:E39"/>
    <mergeCell ref="C40:E40"/>
    <mergeCell ref="C42:E42"/>
    <mergeCell ref="C43:E43"/>
    <mergeCell ref="C44:E44"/>
    <mergeCell ref="C41:E41"/>
    <mergeCell ref="C45:E45"/>
    <mergeCell ref="C46:E46"/>
    <mergeCell ref="C48:E48"/>
    <mergeCell ref="C49:E49"/>
    <mergeCell ref="C50:E50"/>
    <mergeCell ref="C25:E25"/>
    <mergeCell ref="B1:H1"/>
    <mergeCell ref="B2:H2"/>
    <mergeCell ref="B3:H3"/>
    <mergeCell ref="B4:H4"/>
    <mergeCell ref="C17:E17"/>
    <mergeCell ref="C18:E18"/>
    <mergeCell ref="C19:E19"/>
    <mergeCell ref="C20:E20"/>
    <mergeCell ref="C21:E21"/>
    <mergeCell ref="C11:E11"/>
    <mergeCell ref="C12:E12"/>
    <mergeCell ref="C13:E13"/>
    <mergeCell ref="C14:E14"/>
    <mergeCell ref="C15:E15"/>
    <mergeCell ref="C16:E16"/>
    <mergeCell ref="B9:B10"/>
    <mergeCell ref="C9:E10"/>
    <mergeCell ref="F9:F10"/>
    <mergeCell ref="G9:G10"/>
    <mergeCell ref="C23:E23"/>
    <mergeCell ref="C52:E52"/>
    <mergeCell ref="C53:E53"/>
    <mergeCell ref="C54:E54"/>
    <mergeCell ref="B59:H61"/>
    <mergeCell ref="I59:I61"/>
    <mergeCell ref="C58:E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as</cp:lastModifiedBy>
  <dcterms:created xsi:type="dcterms:W3CDTF">2024-09-30T14:30:48Z</dcterms:created>
  <dcterms:modified xsi:type="dcterms:W3CDTF">2024-10-05T07:50:25Z</dcterms:modified>
</cp:coreProperties>
</file>