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as\Documents\Kuliah\Semester 6\Seleksi Asdos Mankon\"/>
    </mc:Choice>
  </mc:AlternateContent>
  <xr:revisionPtr revIDLastSave="0" documentId="8_{BE9E8925-C54E-4F50-9A3F-72B21049ECBF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G21" i="1" l="1"/>
  <c r="AH21" i="1"/>
  <c r="AI21" i="1"/>
  <c r="AJ21" i="1"/>
  <c r="AK21" i="1"/>
  <c r="AL21" i="1"/>
  <c r="AM21" i="1"/>
  <c r="AF21" i="1"/>
  <c r="H20" i="1" l="1"/>
  <c r="P15" i="1"/>
  <c r="O15" i="1"/>
  <c r="BB20" i="1" l="1"/>
  <c r="BF20" i="1"/>
  <c r="BJ20" i="1"/>
  <c r="BC20" i="1"/>
  <c r="BG20" i="1"/>
  <c r="BK20" i="1"/>
  <c r="BD20" i="1"/>
  <c r="BH20" i="1"/>
  <c r="BA20" i="1"/>
  <c r="BE20" i="1"/>
  <c r="BI20" i="1"/>
  <c r="N53" i="1"/>
  <c r="CN43" i="1" l="1"/>
  <c r="CO43" i="1"/>
  <c r="CP43" i="1"/>
  <c r="CL42" i="1"/>
  <c r="CM42" i="1"/>
  <c r="CN42" i="1"/>
  <c r="CU51" i="1" l="1"/>
  <c r="CV51" i="1"/>
  <c r="CT51" i="1"/>
  <c r="CR48" i="1"/>
  <c r="CS48" i="1"/>
  <c r="CQ48" i="1"/>
  <c r="BZ28" i="1"/>
  <c r="CA28" i="1"/>
  <c r="CB28" i="1"/>
  <c r="BY28" i="1"/>
  <c r="BW27" i="1"/>
  <c r="BX27" i="1"/>
  <c r="BY27" i="1"/>
  <c r="BV27" i="1"/>
  <c r="BM18" i="1"/>
  <c r="BN18" i="1"/>
  <c r="BO18" i="1"/>
  <c r="BP18" i="1"/>
  <c r="BQ18" i="1"/>
  <c r="BR18" i="1"/>
  <c r="BS18" i="1"/>
  <c r="BT18" i="1"/>
  <c r="BU18" i="1"/>
  <c r="BV18" i="1"/>
  <c r="BW18" i="1"/>
  <c r="BL18" i="1"/>
  <c r="CM43" i="1"/>
  <c r="CX43" i="1" s="1"/>
  <c r="CK42" i="1"/>
  <c r="CX42" i="1" s="1"/>
  <c r="CK41" i="1"/>
  <c r="CL41" i="1"/>
  <c r="CM41" i="1"/>
  <c r="CJ41" i="1"/>
  <c r="BZ38" i="1"/>
  <c r="CA38" i="1"/>
  <c r="CB38" i="1"/>
  <c r="BY38" i="1"/>
  <c r="CB37" i="1"/>
  <c r="CC37" i="1"/>
  <c r="CD37" i="1"/>
  <c r="CA37" i="1"/>
  <c r="U31" i="1"/>
  <c r="T31" i="1"/>
  <c r="W32" i="1"/>
  <c r="X32" i="1"/>
  <c r="Y32" i="1"/>
  <c r="Z32" i="1"/>
  <c r="V32" i="1"/>
  <c r="Q14" i="1"/>
  <c r="R14" i="1"/>
  <c r="S14" i="1"/>
  <c r="P14" i="1"/>
  <c r="Q13" i="1"/>
  <c r="R13" i="1"/>
  <c r="S13" i="1"/>
  <c r="T13" i="1"/>
  <c r="U13" i="1"/>
  <c r="V13" i="1"/>
  <c r="W13" i="1"/>
  <c r="P13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W53" i="1" s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O12" i="1"/>
  <c r="P11" i="1"/>
  <c r="Q11" i="1"/>
  <c r="R11" i="1"/>
  <c r="S11" i="1"/>
  <c r="T11" i="1"/>
  <c r="U11" i="1"/>
  <c r="V11" i="1"/>
  <c r="W11" i="1"/>
  <c r="O11" i="1"/>
  <c r="P10" i="1"/>
  <c r="Q10" i="1"/>
  <c r="O10" i="1"/>
  <c r="H19" i="1"/>
  <c r="H22" i="1"/>
  <c r="BY22" i="1" s="1"/>
  <c r="H24" i="1"/>
  <c r="CO24" i="1" s="1"/>
  <c r="H23" i="1"/>
  <c r="CM23" i="1" s="1"/>
  <c r="AP19" i="1" l="1"/>
  <c r="AT19" i="1"/>
  <c r="AT53" i="1" s="1"/>
  <c r="AX19" i="1"/>
  <c r="AX53" i="1" s="1"/>
  <c r="BB19" i="1"/>
  <c r="BB53" i="1" s="1"/>
  <c r="AQ19" i="1"/>
  <c r="AU19" i="1"/>
  <c r="AU53" i="1" s="1"/>
  <c r="AY19" i="1"/>
  <c r="AY53" i="1" s="1"/>
  <c r="BC19" i="1"/>
  <c r="BC53" i="1" s="1"/>
  <c r="AR19" i="1"/>
  <c r="AV19" i="1"/>
  <c r="AZ19" i="1"/>
  <c r="AZ53" i="1" s="1"/>
  <c r="BD19" i="1"/>
  <c r="BD53" i="1" s="1"/>
  <c r="AO19" i="1"/>
  <c r="AS19" i="1"/>
  <c r="AW19" i="1"/>
  <c r="AW53" i="1" s="1"/>
  <c r="BA19" i="1"/>
  <c r="BA53" i="1" s="1"/>
  <c r="AN19" i="1"/>
  <c r="O53" i="1"/>
  <c r="T53" i="1"/>
  <c r="BV53" i="1"/>
  <c r="AH53" i="1"/>
  <c r="CX31" i="1"/>
  <c r="CX51" i="1"/>
  <c r="CX12" i="1"/>
  <c r="CK53" i="1"/>
  <c r="BY53" i="1"/>
  <c r="BU53" i="1"/>
  <c r="AK53" i="1"/>
  <c r="AG53" i="1"/>
  <c r="CX13" i="1"/>
  <c r="BX22" i="1"/>
  <c r="BX53" i="1" s="1"/>
  <c r="S53" i="1"/>
  <c r="W53" i="1"/>
  <c r="CX32" i="1"/>
  <c r="CX18" i="1"/>
  <c r="CX21" i="1"/>
  <c r="CX27" i="1"/>
  <c r="CX28" i="1"/>
  <c r="CN24" i="1"/>
  <c r="BE53" i="1"/>
  <c r="AO53" i="1"/>
  <c r="P53" i="1"/>
  <c r="CX14" i="1"/>
  <c r="CX15" i="1"/>
  <c r="CX48" i="1"/>
  <c r="CX11" i="1"/>
  <c r="CX37" i="1"/>
  <c r="CX38" i="1"/>
  <c r="CX41" i="1"/>
  <c r="AS53" i="1"/>
  <c r="Q53" i="1"/>
  <c r="V53" i="1"/>
  <c r="R53" i="1"/>
  <c r="CJ53" i="1"/>
  <c r="CB53" i="1"/>
  <c r="AJ53" i="1"/>
  <c r="AV53" i="1"/>
  <c r="AR53" i="1"/>
  <c r="CA22" i="1"/>
  <c r="CN23" i="1"/>
  <c r="CX23" i="1" s="1"/>
  <c r="AI53" i="1"/>
  <c r="BG53" i="1"/>
  <c r="AQ53" i="1"/>
  <c r="BZ22" i="1"/>
  <c r="CM24" i="1"/>
  <c r="U53" i="1"/>
  <c r="CL53" i="1"/>
  <c r="BZ53" i="1"/>
  <c r="AP53" i="1"/>
  <c r="BF53" i="1"/>
  <c r="CX10" i="1"/>
  <c r="H50" i="1"/>
  <c r="H47" i="1"/>
  <c r="H46" i="1"/>
  <c r="H49" i="1"/>
  <c r="H36" i="1"/>
  <c r="H33" i="1"/>
  <c r="G10" i="1"/>
  <c r="G11" i="1"/>
  <c r="CA53" i="1" l="1"/>
  <c r="CX24" i="1"/>
  <c r="CX22" i="1"/>
  <c r="AM53" i="1"/>
  <c r="AN53" i="1"/>
  <c r="CE36" i="1"/>
  <c r="CI36" i="1"/>
  <c r="CF36" i="1"/>
  <c r="CD36" i="1"/>
  <c r="CH36" i="1"/>
  <c r="CG36" i="1"/>
  <c r="CP50" i="1"/>
  <c r="CT50" i="1"/>
  <c r="CQ50" i="1"/>
  <c r="CU50" i="1"/>
  <c r="CR50" i="1"/>
  <c r="CO50" i="1"/>
  <c r="CS50" i="1"/>
  <c r="CX19" i="1"/>
  <c r="CM53" i="1"/>
  <c r="CV49" i="1"/>
  <c r="CV53" i="1" s="1"/>
  <c r="CT49" i="1"/>
  <c r="CU49" i="1"/>
  <c r="CU53" i="1" s="1"/>
  <c r="BK53" i="1"/>
  <c r="BO53" i="1"/>
  <c r="BS53" i="1"/>
  <c r="BJ53" i="1"/>
  <c r="BR53" i="1"/>
  <c r="BL53" i="1"/>
  <c r="BP53" i="1"/>
  <c r="BT53" i="1"/>
  <c r="BI53" i="1"/>
  <c r="BM53" i="1"/>
  <c r="BQ53" i="1"/>
  <c r="BN53" i="1"/>
  <c r="CN53" i="1"/>
  <c r="CQ47" i="1"/>
  <c r="CT47" i="1"/>
  <c r="CR47" i="1"/>
  <c r="CS47" i="1"/>
  <c r="Y33" i="1"/>
  <c r="AC33" i="1"/>
  <c r="AB33" i="1"/>
  <c r="Z33" i="1"/>
  <c r="AD33" i="1"/>
  <c r="AF53" i="1" s="1"/>
  <c r="AA33" i="1"/>
  <c r="X33" i="1"/>
  <c r="CQ46" i="1"/>
  <c r="CP46" i="1"/>
  <c r="H53" i="1"/>
  <c r="G37" i="1"/>
  <c r="J37" i="1"/>
  <c r="K37" i="1" s="1"/>
  <c r="L37" i="1" s="1"/>
  <c r="G38" i="1"/>
  <c r="J38" i="1"/>
  <c r="K38" i="1" s="1"/>
  <c r="L38" i="1" s="1"/>
  <c r="N56" i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CV56" i="1" s="1"/>
  <c r="N54" i="1"/>
  <c r="J51" i="1"/>
  <c r="K51" i="1" s="1"/>
  <c r="L51" i="1" s="1"/>
  <c r="M51" i="1" s="1"/>
  <c r="G51" i="1"/>
  <c r="J50" i="1"/>
  <c r="K50" i="1" s="1"/>
  <c r="L50" i="1" s="1"/>
  <c r="G50" i="1"/>
  <c r="J49" i="1"/>
  <c r="K49" i="1" s="1"/>
  <c r="L49" i="1" s="1"/>
  <c r="G49" i="1"/>
  <c r="J48" i="1"/>
  <c r="K48" i="1" s="1"/>
  <c r="L48" i="1" s="1"/>
  <c r="M48" i="1" s="1"/>
  <c r="G48" i="1"/>
  <c r="J47" i="1"/>
  <c r="K47" i="1" s="1"/>
  <c r="L47" i="1" s="1"/>
  <c r="M47" i="1" s="1"/>
  <c r="G47" i="1"/>
  <c r="J46" i="1"/>
  <c r="K46" i="1" s="1"/>
  <c r="L46" i="1" s="1"/>
  <c r="M46" i="1" s="1"/>
  <c r="G46" i="1"/>
  <c r="CY45" i="1"/>
  <c r="J24" i="1"/>
  <c r="K24" i="1" s="1"/>
  <c r="L24" i="1" s="1"/>
  <c r="G24" i="1"/>
  <c r="J23" i="1"/>
  <c r="K23" i="1" s="1"/>
  <c r="L23" i="1" s="1"/>
  <c r="M23" i="1" s="1"/>
  <c r="G23" i="1"/>
  <c r="J22" i="1"/>
  <c r="K22" i="1" s="1"/>
  <c r="L22" i="1" s="1"/>
  <c r="M22" i="1" s="1"/>
  <c r="G22" i="1"/>
  <c r="J21" i="1"/>
  <c r="K21" i="1" s="1"/>
  <c r="L21" i="1" s="1"/>
  <c r="M21" i="1" s="1"/>
  <c r="G21" i="1"/>
  <c r="I20" i="1"/>
  <c r="J20" i="1" s="1"/>
  <c r="K20" i="1" s="1"/>
  <c r="L20" i="1" s="1"/>
  <c r="G20" i="1"/>
  <c r="J19" i="1"/>
  <c r="K19" i="1" s="1"/>
  <c r="L19" i="1" s="1"/>
  <c r="G19" i="1"/>
  <c r="J18" i="1"/>
  <c r="K18" i="1" s="1"/>
  <c r="L18" i="1" s="1"/>
  <c r="G18" i="1"/>
  <c r="CY17" i="1"/>
  <c r="M17" i="1"/>
  <c r="J43" i="1"/>
  <c r="K43" i="1" s="1"/>
  <c r="L43" i="1" s="1"/>
  <c r="M43" i="1" s="1"/>
  <c r="G43" i="1"/>
  <c r="J42" i="1"/>
  <c r="K42" i="1" s="1"/>
  <c r="L42" i="1" s="1"/>
  <c r="M42" i="1" s="1"/>
  <c r="G42" i="1"/>
  <c r="J41" i="1"/>
  <c r="K41" i="1" s="1"/>
  <c r="L41" i="1" s="1"/>
  <c r="M41" i="1" s="1"/>
  <c r="G41" i="1"/>
  <c r="CY40" i="1"/>
  <c r="J36" i="1"/>
  <c r="K36" i="1" s="1"/>
  <c r="L36" i="1" s="1"/>
  <c r="M36" i="1" s="1"/>
  <c r="G36" i="1"/>
  <c r="CY35" i="1"/>
  <c r="J31" i="1"/>
  <c r="K31" i="1" s="1"/>
  <c r="L31" i="1" s="1"/>
  <c r="G31" i="1"/>
  <c r="J33" i="1"/>
  <c r="K33" i="1" s="1"/>
  <c r="L33" i="1" s="1"/>
  <c r="G33" i="1"/>
  <c r="J32" i="1"/>
  <c r="K32" i="1" s="1"/>
  <c r="L32" i="1" s="1"/>
  <c r="G32" i="1"/>
  <c r="CY30" i="1"/>
  <c r="J28" i="1"/>
  <c r="K28" i="1" s="1"/>
  <c r="L28" i="1" s="1"/>
  <c r="M28" i="1" s="1"/>
  <c r="G28" i="1"/>
  <c r="J27" i="1"/>
  <c r="K27" i="1" s="1"/>
  <c r="L27" i="1" s="1"/>
  <c r="M27" i="1" s="1"/>
  <c r="G27" i="1"/>
  <c r="CY26" i="1"/>
  <c r="M15" i="1"/>
  <c r="G15" i="1"/>
  <c r="M14" i="1"/>
  <c r="G14" i="1"/>
  <c r="M13" i="1"/>
  <c r="G13" i="1"/>
  <c r="M12" i="1"/>
  <c r="G12" i="1"/>
  <c r="CF53" i="1" l="1"/>
  <c r="CE53" i="1"/>
  <c r="CH53" i="1"/>
  <c r="Y53" i="1"/>
  <c r="X53" i="1"/>
  <c r="CG53" i="1"/>
  <c r="CD53" i="1"/>
  <c r="CI53" i="1"/>
  <c r="AA53" i="1"/>
  <c r="AC53" i="1"/>
  <c r="AE53" i="1"/>
  <c r="AB53" i="1"/>
  <c r="AD53" i="1"/>
  <c r="CS53" i="1"/>
  <c r="CX20" i="1"/>
  <c r="CX46" i="1"/>
  <c r="CP53" i="1"/>
  <c r="CX47" i="1"/>
  <c r="CX49" i="1"/>
  <c r="CT53" i="1"/>
  <c r="CQ53" i="1"/>
  <c r="CR53" i="1"/>
  <c r="BH53" i="1"/>
  <c r="CX33" i="1"/>
  <c r="Z53" i="1"/>
  <c r="CX50" i="1"/>
  <c r="CO53" i="1"/>
  <c r="CX36" i="1"/>
  <c r="CC53" i="1"/>
  <c r="AL53" i="1"/>
  <c r="G53" i="1"/>
  <c r="O54" i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AA78" i="1" l="1"/>
  <c r="Z54" i="1"/>
  <c r="AA54" i="1" s="1"/>
  <c r="W80" i="1" s="1"/>
  <c r="CX53" i="1"/>
  <c r="CY32" i="1"/>
  <c r="CY37" i="1"/>
  <c r="CY38" i="1"/>
  <c r="CY46" i="1"/>
  <c r="CY47" i="1"/>
  <c r="W79" i="1"/>
  <c r="CY51" i="1"/>
  <c r="CY21" i="1"/>
  <c r="CY43" i="1"/>
  <c r="CY50" i="1"/>
  <c r="CY42" i="1"/>
  <c r="CY36" i="1"/>
  <c r="CY23" i="1"/>
  <c r="CY31" i="1"/>
  <c r="AB54" i="1"/>
  <c r="AC54" i="1" s="1"/>
  <c r="AD54" i="1" s="1"/>
  <c r="CY27" i="1"/>
  <c r="CY49" i="1"/>
  <c r="CY48" i="1"/>
  <c r="CY24" i="1"/>
  <c r="CY22" i="1"/>
  <c r="CY13" i="1"/>
  <c r="CY14" i="1"/>
  <c r="CY15" i="1"/>
  <c r="CY20" i="1"/>
  <c r="CY41" i="1"/>
  <c r="CY12" i="1"/>
  <c r="CY11" i="1" l="1"/>
  <c r="CY19" i="1"/>
  <c r="CY33" i="1"/>
  <c r="CY18" i="1"/>
  <c r="CY28" i="1"/>
  <c r="CY53" i="1" l="1"/>
  <c r="BW78" i="1"/>
  <c r="BS79" i="1" s="1"/>
  <c r="AE54" i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S80" i="1" l="1"/>
  <c r="BX54" i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</calcChain>
</file>

<file path=xl/sharedStrings.xml><?xml version="1.0" encoding="utf-8"?>
<sst xmlns="http://schemas.openxmlformats.org/spreadsheetml/2006/main" count="169" uniqueCount="148">
  <si>
    <t>Uraian</t>
  </si>
  <si>
    <t>Satuan</t>
  </si>
  <si>
    <t>Bobot</t>
  </si>
  <si>
    <t>Kuantitas</t>
  </si>
  <si>
    <t>Harga-Harga</t>
  </si>
  <si>
    <t>%</t>
  </si>
  <si>
    <t>/jam</t>
  </si>
  <si>
    <t>/hari</t>
  </si>
  <si>
    <t>hari</t>
  </si>
  <si>
    <t>mggu</t>
  </si>
  <si>
    <t>bulan</t>
  </si>
  <si>
    <t>Mg-1</t>
  </si>
  <si>
    <t>Mg-2</t>
  </si>
  <si>
    <t>Mg-3</t>
  </si>
  <si>
    <t>Mg-4</t>
  </si>
  <si>
    <t>Mg-5</t>
  </si>
  <si>
    <t>Mg-6</t>
  </si>
  <si>
    <t>Mg-7</t>
  </si>
  <si>
    <t>Mg-8</t>
  </si>
  <si>
    <t>Mg-9</t>
  </si>
  <si>
    <t>Mg-10</t>
  </si>
  <si>
    <t>Mg-11</t>
  </si>
  <si>
    <t>Mg-12</t>
  </si>
  <si>
    <t>Mg-13</t>
  </si>
  <si>
    <t>Mg-14</t>
  </si>
  <si>
    <t>Mg-15</t>
  </si>
  <si>
    <t>Mg-16</t>
  </si>
  <si>
    <t>Mg-17</t>
  </si>
  <si>
    <t>Mg-18</t>
  </si>
  <si>
    <t>Mg-19</t>
  </si>
  <si>
    <t>Mg-20</t>
  </si>
  <si>
    <t>Mg-21</t>
  </si>
  <si>
    <t>Mg-22</t>
  </si>
  <si>
    <t>Mg-23</t>
  </si>
  <si>
    <t>Mg-24</t>
  </si>
  <si>
    <t>Mg-25</t>
  </si>
  <si>
    <t>Mg-26</t>
  </si>
  <si>
    <t>Mg-27</t>
  </si>
  <si>
    <t>Mg-28</t>
  </si>
  <si>
    <t>Mg-29</t>
  </si>
  <si>
    <t>Mg-30</t>
  </si>
  <si>
    <t>Mg-31</t>
  </si>
  <si>
    <t>Mg-32</t>
  </si>
  <si>
    <t>Mg-33</t>
  </si>
  <si>
    <t>Mg-34</t>
  </si>
  <si>
    <t>Mg-35</t>
  </si>
  <si>
    <t>Mg-36</t>
  </si>
  <si>
    <t>Mg-37</t>
  </si>
  <si>
    <t>Mg-38</t>
  </si>
  <si>
    <t>Mg-39</t>
  </si>
  <si>
    <t>Mg-40</t>
  </si>
  <si>
    <t>Mg-41</t>
  </si>
  <si>
    <t>Mg-42</t>
  </si>
  <si>
    <t>Mg-43</t>
  </si>
  <si>
    <t>Mg-44</t>
  </si>
  <si>
    <t>Mg-45</t>
  </si>
  <si>
    <t>Mg-46</t>
  </si>
  <si>
    <t>Mg-47</t>
  </si>
  <si>
    <t>Mg-48</t>
  </si>
  <si>
    <t>Mg-49</t>
  </si>
  <si>
    <t>Mg-50</t>
  </si>
  <si>
    <t>Mg-51</t>
  </si>
  <si>
    <t>Mg-52</t>
  </si>
  <si>
    <t>Mg-53</t>
  </si>
  <si>
    <t>Mg-54</t>
  </si>
  <si>
    <t>Mg-55</t>
  </si>
  <si>
    <t>Mg-56</t>
  </si>
  <si>
    <t>Mg-57</t>
  </si>
  <si>
    <t>Mg-58</t>
  </si>
  <si>
    <t>Mg-59</t>
  </si>
  <si>
    <t>Mg-60</t>
  </si>
  <si>
    <t>Mg-61</t>
  </si>
  <si>
    <t>Mg-62</t>
  </si>
  <si>
    <t>Mg-63</t>
  </si>
  <si>
    <t>Mg-64</t>
  </si>
  <si>
    <t>Mg-65</t>
  </si>
  <si>
    <t>Mg-66</t>
  </si>
  <si>
    <t>Mg-67</t>
  </si>
  <si>
    <t>Mg-68</t>
  </si>
  <si>
    <t>Mg-69</t>
  </si>
  <si>
    <t>Mg-70</t>
  </si>
  <si>
    <t>Mg-71</t>
  </si>
  <si>
    <t>Mg-72</t>
  </si>
  <si>
    <t>Mg-73</t>
  </si>
  <si>
    <t>Mg-74</t>
  </si>
  <si>
    <t>Mg-75</t>
  </si>
  <si>
    <t>Mg-76</t>
  </si>
  <si>
    <t>Mg-77</t>
  </si>
  <si>
    <t>Mg-78</t>
  </si>
  <si>
    <t>Mg-79</t>
  </si>
  <si>
    <t>Mg-80</t>
  </si>
  <si>
    <t>LS</t>
  </si>
  <si>
    <t>Manajemen dan Keselamatan Lalu Lintas</t>
  </si>
  <si>
    <t>Pengeboran, termasuk SPT dan Laporan</t>
  </si>
  <si>
    <t>M1</t>
  </si>
  <si>
    <t>Sondir termasuk Laporan</t>
  </si>
  <si>
    <t>Galian untuk Selokan Drainase dan Saluran Air</t>
  </si>
  <si>
    <t>M3</t>
  </si>
  <si>
    <t>m3</t>
  </si>
  <si>
    <t>Kg</t>
  </si>
  <si>
    <t>Galian Biasa</t>
  </si>
  <si>
    <t>Timbunan Biasa dari galian</t>
  </si>
  <si>
    <t>Pembersihan dan Pengupasan Lahan</t>
  </si>
  <si>
    <t>M2</t>
  </si>
  <si>
    <t>Lapisan Pondasi Agregat Kelas A</t>
  </si>
  <si>
    <t>Lapis Perekat - Aspal Cair</t>
  </si>
  <si>
    <t>Liter</t>
  </si>
  <si>
    <t>Laston Lapis Aus (AC-WC)</t>
  </si>
  <si>
    <t>Ton</t>
  </si>
  <si>
    <t xml:space="preserve">Bahan Anti Pengelupasan </t>
  </si>
  <si>
    <t>Beton mutu sedang fc’30 MPa - Lantai Jembatan</t>
  </si>
  <si>
    <t>Beton mutu sedang fc’30 MPa - Abutmen dan Pilar</t>
  </si>
  <si>
    <t>Buah</t>
  </si>
  <si>
    <t>Pasangan Batu</t>
  </si>
  <si>
    <t>Expansion Joint Tipe Asphaltic Plug, Moveable</t>
  </si>
  <si>
    <t>Sandaran (Railing)</t>
  </si>
  <si>
    <t>Marka Jalan Termoplastik</t>
  </si>
  <si>
    <t>Rambu Jalan Tunggal dengan Permukaan Pemantul Engineer Grade</t>
  </si>
  <si>
    <t>Patok Pengarah</t>
  </si>
  <si>
    <t>Kerb Pracetak Jenis 1 (Peninggi/Mountable)</t>
  </si>
  <si>
    <t>Perkerasan Blok Beton pada Trotoar dan Median</t>
  </si>
  <si>
    <t>PROGRESS RENCANA</t>
  </si>
  <si>
    <t>KUMULATIF PROGRESS RENCANA</t>
  </si>
  <si>
    <t>PROGRESS REALISASI</t>
  </si>
  <si>
    <t>KUMULATIF PROGRESS REALISASI</t>
  </si>
  <si>
    <t>PEKERJAAN PERSIAPAN</t>
  </si>
  <si>
    <t>Permbersihan Lahan</t>
  </si>
  <si>
    <t>PEKERJAAN STRUKTUR</t>
  </si>
  <si>
    <t>PEKERJAAN DRAINASE</t>
  </si>
  <si>
    <t>PEKERJAAN TANAH</t>
  </si>
  <si>
    <t>PERKERASAN BERBUTIR</t>
  </si>
  <si>
    <t>Lapisan Pondasi Agregat Kelas B</t>
  </si>
  <si>
    <t>Lapisan Pondasi Agregat Kelas S</t>
  </si>
  <si>
    <t>PERKERASAN ASPAL</t>
  </si>
  <si>
    <t>FINISHING</t>
  </si>
  <si>
    <t>Mobilisasi peralatan dan material</t>
  </si>
  <si>
    <t>Mg-81</t>
  </si>
  <si>
    <t>Mg-82</t>
  </si>
  <si>
    <t>Mg-83</t>
  </si>
  <si>
    <t>Mg-84</t>
  </si>
  <si>
    <t>Mg-85</t>
  </si>
  <si>
    <t>Mg-86</t>
  </si>
  <si>
    <t>Pagar pemisah carbon steel</t>
  </si>
  <si>
    <t>Pekerjaan Bowplank</t>
  </si>
  <si>
    <t>Rangka baja</t>
  </si>
  <si>
    <t>Penyediaan tiang borepile</t>
  </si>
  <si>
    <t>Pengecoran beton drainase</t>
  </si>
  <si>
    <t>JADWAL PELAKSANAAN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</si>
</sst>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name val="Arial Narrow"/>
      <family val="2"/>
    </font>
    <font>
      <sz val="10"/>
      <name val="Arial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Dot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DashDot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DashDot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mediumDashDot">
        <color indexed="64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DashDot">
        <color indexed="64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DashDot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DashDot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DashDot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  <border>
      <left style="thin">
        <color auto="1"/>
      </left>
      <right style="mediumDashDot">
        <color auto="1"/>
      </right>
      <top style="hair">
        <color auto="1"/>
      </top>
      <bottom style="medium">
        <color auto="1"/>
      </bottom>
      <diagonal/>
    </border>
    <border>
      <left style="mediumDashDot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DashDot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Dot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DashDot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2" fillId="0" borderId="0" xfId="2" applyFont="1"/>
    <xf numFmtId="166" fontId="2" fillId="0" borderId="0" xfId="2" applyNumberFormat="1" applyFont="1"/>
    <xf numFmtId="0" fontId="3" fillId="0" borderId="0" xfId="2" applyFont="1"/>
    <xf numFmtId="0" fontId="2" fillId="0" borderId="0" xfId="2" applyFont="1" applyFill="1"/>
    <xf numFmtId="166" fontId="2" fillId="0" borderId="0" xfId="2" applyNumberFormat="1" applyFont="1" applyFill="1"/>
    <xf numFmtId="0" fontId="3" fillId="0" borderId="0" xfId="2" applyFont="1" applyFill="1"/>
    <xf numFmtId="0" fontId="10" fillId="0" borderId="1" xfId="4" applyFont="1" applyBorder="1" applyAlignment="1"/>
    <xf numFmtId="0" fontId="10" fillId="0" borderId="3" xfId="4" applyFont="1" applyBorder="1" applyAlignment="1"/>
    <xf numFmtId="0" fontId="10" fillId="0" borderId="3" xfId="4" applyFont="1" applyBorder="1" applyAlignment="1">
      <alignment horizontal="center"/>
    </xf>
    <xf numFmtId="166" fontId="2" fillId="0" borderId="3" xfId="2" applyNumberFormat="1" applyFont="1" applyBorder="1" applyAlignment="1">
      <alignment horizontal="center"/>
    </xf>
    <xf numFmtId="166" fontId="11" fillId="0" borderId="10" xfId="2" applyNumberFormat="1" applyFont="1" applyFill="1" applyBorder="1" applyAlignment="1">
      <alignment horizontal="center" vertical="center"/>
    </xf>
    <xf numFmtId="0" fontId="9" fillId="0" borderId="8" xfId="3" applyFont="1" applyFill="1" applyBorder="1" applyAlignment="1">
      <alignment horizontal="center" vertical="center"/>
    </xf>
    <xf numFmtId="0" fontId="9" fillId="0" borderId="10" xfId="3" applyFont="1" applyFill="1" applyBorder="1" applyAlignment="1">
      <alignment horizontal="center" vertical="center"/>
    </xf>
    <xf numFmtId="165" fontId="9" fillId="0" borderId="10" xfId="5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/>
    </xf>
    <xf numFmtId="0" fontId="13" fillId="0" borderId="14" xfId="2" applyFont="1" applyFill="1" applyBorder="1" applyAlignment="1">
      <alignment horizontal="center" vertical="center"/>
    </xf>
    <xf numFmtId="0" fontId="13" fillId="0" borderId="12" xfId="2" applyFont="1" applyFill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horizontal="center" vertical="center"/>
    </xf>
    <xf numFmtId="0" fontId="13" fillId="0" borderId="16" xfId="2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0" fontId="11" fillId="0" borderId="13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4" fillId="3" borderId="4" xfId="3" applyFont="1" applyFill="1" applyBorder="1" applyAlignment="1"/>
    <xf numFmtId="0" fontId="7" fillId="3" borderId="6" xfId="3" applyFont="1" applyFill="1" applyBorder="1" applyAlignment="1"/>
    <xf numFmtId="0" fontId="4" fillId="3" borderId="23" xfId="3" applyFont="1" applyFill="1" applyBorder="1" applyAlignment="1">
      <alignment horizontal="center" vertical="top"/>
    </xf>
    <xf numFmtId="165" fontId="4" fillId="3" borderId="23" xfId="5" applyFont="1" applyFill="1" applyBorder="1" applyAlignment="1">
      <alignment horizontal="left" vertical="top"/>
    </xf>
    <xf numFmtId="0" fontId="4" fillId="3" borderId="23" xfId="3" applyFont="1" applyFill="1" applyBorder="1" applyAlignment="1">
      <alignment horizontal="left" vertical="top"/>
    </xf>
    <xf numFmtId="166" fontId="2" fillId="3" borderId="23" xfId="2" applyNumberFormat="1" applyFont="1" applyFill="1" applyBorder="1"/>
    <xf numFmtId="166" fontId="2" fillId="0" borderId="24" xfId="2" applyNumberFormat="1" applyFont="1" applyBorder="1"/>
    <xf numFmtId="0" fontId="2" fillId="0" borderId="24" xfId="2" applyNumberFormat="1" applyFont="1" applyBorder="1"/>
    <xf numFmtId="0" fontId="2" fillId="0" borderId="24" xfId="2" applyFont="1" applyFill="1" applyBorder="1"/>
    <xf numFmtId="0" fontId="2" fillId="0" borderId="25" xfId="2" applyFont="1" applyFill="1" applyBorder="1"/>
    <xf numFmtId="166" fontId="2" fillId="0" borderId="25" xfId="2" applyNumberFormat="1" applyFont="1" applyBorder="1" applyAlignment="1">
      <alignment horizontal="center" vertical="center"/>
    </xf>
    <xf numFmtId="166" fontId="2" fillId="0" borderId="26" xfId="2" applyNumberFormat="1" applyFont="1" applyBorder="1" applyAlignment="1">
      <alignment horizontal="center" vertical="center"/>
    </xf>
    <xf numFmtId="166" fontId="2" fillId="0" borderId="27" xfId="2" applyNumberFormat="1" applyFont="1" applyBorder="1" applyAlignment="1">
      <alignment horizontal="center" vertical="center"/>
    </xf>
    <xf numFmtId="166" fontId="2" fillId="0" borderId="28" xfId="2" applyNumberFormat="1" applyFont="1" applyBorder="1" applyAlignment="1">
      <alignment horizontal="center" vertical="center"/>
    </xf>
    <xf numFmtId="166" fontId="4" fillId="0" borderId="25" xfId="2" applyNumberFormat="1" applyFont="1" applyFill="1" applyBorder="1" applyAlignment="1">
      <alignment horizontal="center" vertical="center"/>
    </xf>
    <xf numFmtId="166" fontId="4" fillId="2" borderId="25" xfId="2" applyNumberFormat="1" applyFont="1" applyFill="1" applyBorder="1" applyAlignment="1">
      <alignment horizontal="center" vertical="center"/>
    </xf>
    <xf numFmtId="166" fontId="2" fillId="0" borderId="29" xfId="2" applyNumberFormat="1" applyFont="1" applyBorder="1" applyAlignment="1">
      <alignment horizontal="center" vertical="center"/>
    </xf>
    <xf numFmtId="166" fontId="2" fillId="0" borderId="24" xfId="2" applyNumberFormat="1" applyFont="1" applyBorder="1" applyAlignment="1">
      <alignment horizontal="center" vertical="center"/>
    </xf>
    <xf numFmtId="166" fontId="2" fillId="0" borderId="30" xfId="2" applyNumberFormat="1" applyFont="1" applyBorder="1" applyAlignment="1">
      <alignment horizontal="center" vertical="center"/>
    </xf>
    <xf numFmtId="166" fontId="2" fillId="0" borderId="0" xfId="2" applyNumberFormat="1" applyFont="1" applyAlignment="1">
      <alignment horizontal="center" vertical="center"/>
    </xf>
    <xf numFmtId="0" fontId="4" fillId="0" borderId="32" xfId="3" applyFont="1" applyFill="1" applyBorder="1" applyAlignment="1"/>
    <xf numFmtId="0" fontId="4" fillId="0" borderId="24" xfId="3" applyFont="1" applyFill="1" applyBorder="1" applyAlignment="1">
      <alignment horizontal="center" vertical="center"/>
    </xf>
    <xf numFmtId="165" fontId="4" fillId="0" borderId="24" xfId="5" applyFont="1" applyFill="1" applyBorder="1" applyAlignment="1">
      <alignment horizontal="right" vertical="center"/>
    </xf>
    <xf numFmtId="165" fontId="4" fillId="0" borderId="24" xfId="5" applyFont="1" applyFill="1" applyBorder="1" applyAlignment="1">
      <alignment horizontal="left" vertical="top"/>
    </xf>
    <xf numFmtId="166" fontId="2" fillId="0" borderId="24" xfId="2" applyNumberFormat="1" applyFont="1" applyFill="1" applyBorder="1"/>
    <xf numFmtId="0" fontId="3" fillId="0" borderId="33" xfId="2" applyNumberFormat="1" applyFont="1" applyBorder="1"/>
    <xf numFmtId="166" fontId="2" fillId="0" borderId="33" xfId="2" applyNumberFormat="1" applyFont="1" applyBorder="1" applyAlignment="1">
      <alignment horizontal="center" vertical="center"/>
    </xf>
    <xf numFmtId="166" fontId="4" fillId="0" borderId="33" xfId="2" applyNumberFormat="1" applyFont="1" applyFill="1" applyBorder="1" applyAlignment="1">
      <alignment horizontal="center" vertical="center"/>
    </xf>
    <xf numFmtId="0" fontId="4" fillId="0" borderId="34" xfId="3" applyFont="1" applyFill="1" applyBorder="1" applyAlignment="1"/>
    <xf numFmtId="0" fontId="4" fillId="0" borderId="36" xfId="3" applyFont="1" applyFill="1" applyBorder="1" applyAlignment="1"/>
    <xf numFmtId="0" fontId="4" fillId="0" borderId="33" xfId="3" applyFont="1" applyFill="1" applyBorder="1" applyAlignment="1">
      <alignment horizontal="center" vertical="center"/>
    </xf>
    <xf numFmtId="165" fontId="4" fillId="0" borderId="33" xfId="5" applyFont="1" applyFill="1" applyBorder="1" applyAlignment="1">
      <alignment horizontal="right" vertical="center"/>
    </xf>
    <xf numFmtId="165" fontId="4" fillId="0" borderId="33" xfId="5" applyFont="1" applyFill="1" applyBorder="1" applyAlignment="1">
      <alignment horizontal="left" vertical="top"/>
    </xf>
    <xf numFmtId="166" fontId="2" fillId="0" borderId="33" xfId="2" applyNumberFormat="1" applyFont="1" applyFill="1" applyBorder="1"/>
    <xf numFmtId="166" fontId="2" fillId="0" borderId="33" xfId="2" applyNumberFormat="1" applyFont="1" applyFill="1" applyBorder="1" applyAlignment="1">
      <alignment horizontal="center" vertical="center"/>
    </xf>
    <xf numFmtId="0" fontId="2" fillId="0" borderId="33" xfId="2" applyFont="1" applyFill="1" applyBorder="1"/>
    <xf numFmtId="0" fontId="4" fillId="0" borderId="38" xfId="3" applyFont="1" applyFill="1" applyBorder="1" applyAlignment="1"/>
    <xf numFmtId="0" fontId="4" fillId="0" borderId="39" xfId="3" applyFont="1" applyFill="1" applyBorder="1" applyAlignment="1"/>
    <xf numFmtId="0" fontId="4" fillId="0" borderId="40" xfId="3" applyFont="1" applyFill="1" applyBorder="1" applyAlignment="1">
      <alignment horizontal="center" vertical="center"/>
    </xf>
    <xf numFmtId="165" fontId="4" fillId="0" borderId="40" xfId="5" applyFont="1" applyFill="1" applyBorder="1" applyAlignment="1">
      <alignment horizontal="right" vertical="center"/>
    </xf>
    <xf numFmtId="165" fontId="4" fillId="0" borderId="40" xfId="5" applyFont="1" applyFill="1" applyBorder="1" applyAlignment="1">
      <alignment horizontal="left" vertical="top"/>
    </xf>
    <xf numFmtId="166" fontId="2" fillId="0" borderId="40" xfId="2" applyNumberFormat="1" applyFont="1" applyFill="1" applyBorder="1"/>
    <xf numFmtId="0" fontId="4" fillId="3" borderId="12" xfId="3" applyFont="1" applyFill="1" applyBorder="1" applyAlignment="1"/>
    <xf numFmtId="0" fontId="7" fillId="3" borderId="11" xfId="3" applyFont="1" applyFill="1" applyBorder="1" applyAlignment="1"/>
    <xf numFmtId="0" fontId="4" fillId="3" borderId="14" xfId="3" applyFont="1" applyFill="1" applyBorder="1" applyAlignment="1">
      <alignment horizontal="center" vertical="top"/>
    </xf>
    <xf numFmtId="165" fontId="4" fillId="3" borderId="14" xfId="5" applyFont="1" applyFill="1" applyBorder="1" applyAlignment="1">
      <alignment horizontal="left" vertical="top"/>
    </xf>
    <xf numFmtId="0" fontId="4" fillId="3" borderId="14" xfId="3" applyFont="1" applyFill="1" applyBorder="1" applyAlignment="1">
      <alignment horizontal="left" vertical="top"/>
    </xf>
    <xf numFmtId="166" fontId="2" fillId="3" borderId="14" xfId="2" applyNumberFormat="1" applyFont="1" applyFill="1" applyBorder="1"/>
    <xf numFmtId="0" fontId="4" fillId="0" borderId="31" xfId="3" applyFont="1" applyFill="1" applyBorder="1" applyAlignment="1"/>
    <xf numFmtId="165" fontId="3" fillId="0" borderId="33" xfId="2" applyNumberFormat="1" applyFont="1" applyBorder="1"/>
    <xf numFmtId="166" fontId="2" fillId="0" borderId="34" xfId="2" applyNumberFormat="1" applyFont="1" applyFill="1" applyBorder="1" applyAlignment="1">
      <alignment horizontal="center" vertical="center"/>
    </xf>
    <xf numFmtId="0" fontId="4" fillId="0" borderId="33" xfId="3" applyFont="1" applyFill="1" applyBorder="1" applyAlignment="1">
      <alignment horizontal="center" vertical="top"/>
    </xf>
    <xf numFmtId="0" fontId="4" fillId="0" borderId="41" xfId="3" applyFont="1" applyFill="1" applyBorder="1" applyAlignment="1"/>
    <xf numFmtId="0" fontId="4" fillId="0" borderId="42" xfId="3" applyFont="1" applyFill="1" applyBorder="1" applyAlignment="1"/>
    <xf numFmtId="0" fontId="4" fillId="0" borderId="43" xfId="3" applyFont="1" applyFill="1" applyBorder="1" applyAlignment="1">
      <alignment horizontal="left" vertical="top"/>
    </xf>
    <xf numFmtId="165" fontId="4" fillId="0" borderId="43" xfId="5" applyFont="1" applyFill="1" applyBorder="1" applyAlignment="1">
      <alignment horizontal="left" vertical="top"/>
    </xf>
    <xf numFmtId="166" fontId="2" fillId="0" borderId="43" xfId="2" applyNumberFormat="1" applyFont="1" applyBorder="1"/>
    <xf numFmtId="0" fontId="2" fillId="0" borderId="43" xfId="2" applyNumberFormat="1" applyFont="1" applyBorder="1"/>
    <xf numFmtId="0" fontId="2" fillId="0" borderId="43" xfId="2" applyFont="1" applyBorder="1"/>
    <xf numFmtId="0" fontId="2" fillId="0" borderId="43" xfId="2" applyFont="1" applyFill="1" applyBorder="1"/>
    <xf numFmtId="166" fontId="4" fillId="0" borderId="43" xfId="2" applyNumberFormat="1" applyFont="1" applyFill="1" applyBorder="1" applyAlignment="1">
      <alignment horizontal="center" vertical="center"/>
    </xf>
    <xf numFmtId="0" fontId="9" fillId="0" borderId="4" xfId="2" applyFont="1" applyBorder="1"/>
    <xf numFmtId="0" fontId="7" fillId="0" borderId="6" xfId="2" applyFont="1" applyBorder="1" applyAlignment="1">
      <alignment horizontal="right"/>
    </xf>
    <xf numFmtId="0" fontId="9" fillId="0" borderId="23" xfId="2" applyFont="1" applyBorder="1"/>
    <xf numFmtId="0" fontId="2" fillId="0" borderId="23" xfId="2" applyFont="1" applyBorder="1"/>
    <xf numFmtId="165" fontId="5" fillId="0" borderId="23" xfId="2" applyNumberFormat="1" applyFont="1" applyBorder="1"/>
    <xf numFmtId="2" fontId="7" fillId="0" borderId="23" xfId="2" applyNumberFormat="1" applyFont="1" applyBorder="1"/>
    <xf numFmtId="166" fontId="5" fillId="0" borderId="23" xfId="2" applyNumberFormat="1" applyFont="1" applyBorder="1"/>
    <xf numFmtId="0" fontId="5" fillId="0" borderId="23" xfId="2" applyNumberFormat="1" applyFont="1" applyBorder="1"/>
    <xf numFmtId="2" fontId="5" fillId="0" borderId="3" xfId="2" applyNumberFormat="1" applyFont="1" applyBorder="1"/>
    <xf numFmtId="2" fontId="5" fillId="0" borderId="3" xfId="2" applyNumberFormat="1" applyFont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2" fontId="5" fillId="0" borderId="46" xfId="2" applyNumberFormat="1" applyFont="1" applyBorder="1" applyAlignment="1">
      <alignment horizontal="center"/>
    </xf>
    <xf numFmtId="2" fontId="5" fillId="0" borderId="2" xfId="2" applyNumberFormat="1" applyFont="1" applyBorder="1" applyAlignment="1">
      <alignment horizontal="center"/>
    </xf>
    <xf numFmtId="2" fontId="7" fillId="0" borderId="3" xfId="2" applyNumberFormat="1" applyFont="1" applyFill="1" applyBorder="1" applyAlignment="1">
      <alignment horizontal="center"/>
    </xf>
    <xf numFmtId="2" fontId="7" fillId="2" borderId="3" xfId="2" applyNumberFormat="1" applyFont="1" applyFill="1" applyBorder="1" applyAlignment="1">
      <alignment horizontal="center"/>
    </xf>
    <xf numFmtId="2" fontId="5" fillId="0" borderId="47" xfId="2" applyNumberFormat="1" applyFont="1" applyBorder="1" applyAlignment="1">
      <alignment horizontal="center"/>
    </xf>
    <xf numFmtId="0" fontId="2" fillId="0" borderId="48" xfId="2" applyFont="1" applyBorder="1"/>
    <xf numFmtId="2" fontId="3" fillId="0" borderId="49" xfId="2" applyNumberFormat="1" applyFont="1" applyBorder="1"/>
    <xf numFmtId="2" fontId="3" fillId="0" borderId="0" xfId="2" applyNumberFormat="1" applyFont="1" applyBorder="1"/>
    <xf numFmtId="0" fontId="9" fillId="0" borderId="20" xfId="2" applyFont="1" applyBorder="1"/>
    <xf numFmtId="0" fontId="7" fillId="0" borderId="18" xfId="2" applyFont="1" applyBorder="1" applyAlignment="1">
      <alignment horizontal="right"/>
    </xf>
    <xf numFmtId="0" fontId="9" fillId="0" borderId="19" xfId="2" applyFont="1" applyBorder="1"/>
    <xf numFmtId="0" fontId="2" fillId="0" borderId="19" xfId="2" applyFont="1" applyBorder="1"/>
    <xf numFmtId="166" fontId="5" fillId="0" borderId="19" xfId="2" applyNumberFormat="1" applyFont="1" applyBorder="1"/>
    <xf numFmtId="2" fontId="5" fillId="0" borderId="19" xfId="2" applyNumberFormat="1" applyFont="1" applyBorder="1"/>
    <xf numFmtId="2" fontId="5" fillId="0" borderId="19" xfId="2" applyNumberFormat="1" applyFont="1" applyBorder="1" applyAlignment="1">
      <alignment horizontal="center"/>
    </xf>
    <xf numFmtId="2" fontId="5" fillId="0" borderId="20" xfId="2" applyNumberFormat="1" applyFont="1" applyBorder="1" applyAlignment="1">
      <alignment horizontal="center"/>
    </xf>
    <xf numFmtId="2" fontId="5" fillId="0" borderId="21" xfId="2" applyNumberFormat="1" applyFont="1" applyBorder="1" applyAlignment="1">
      <alignment horizontal="center"/>
    </xf>
    <xf numFmtId="2" fontId="5" fillId="0" borderId="18" xfId="2" applyNumberFormat="1" applyFont="1" applyBorder="1" applyAlignment="1">
      <alignment horizontal="center"/>
    </xf>
    <xf numFmtId="2" fontId="7" fillId="0" borderId="19" xfId="2" applyNumberFormat="1" applyFont="1" applyFill="1" applyBorder="1" applyAlignment="1">
      <alignment horizontal="center"/>
    </xf>
    <xf numFmtId="2" fontId="7" fillId="2" borderId="19" xfId="2" applyNumberFormat="1" applyFont="1" applyFill="1" applyBorder="1" applyAlignment="1">
      <alignment horizontal="center"/>
    </xf>
    <xf numFmtId="2" fontId="5" fillId="0" borderId="22" xfId="2" applyNumberFormat="1" applyFont="1" applyBorder="1" applyAlignment="1">
      <alignment horizontal="center"/>
    </xf>
    <xf numFmtId="0" fontId="2" fillId="0" borderId="50" xfId="2" applyFont="1" applyBorder="1"/>
    <xf numFmtId="165" fontId="2" fillId="0" borderId="0" xfId="2" applyNumberFormat="1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5" fontId="2" fillId="0" borderId="0" xfId="6" applyFont="1"/>
    <xf numFmtId="0" fontId="14" fillId="0" borderId="0" xfId="7" applyFont="1"/>
    <xf numFmtId="0" fontId="14" fillId="0" borderId="0" xfId="7" applyFont="1" applyFill="1"/>
    <xf numFmtId="164" fontId="2" fillId="0" borderId="0" xfId="1" applyFont="1"/>
    <xf numFmtId="165" fontId="2" fillId="0" borderId="0" xfId="2" applyNumberFormat="1" applyFont="1"/>
    <xf numFmtId="2" fontId="2" fillId="0" borderId="0" xfId="2" applyNumberFormat="1" applyFont="1"/>
    <xf numFmtId="0" fontId="2" fillId="0" borderId="0" xfId="2" applyFont="1" applyAlignment="1">
      <alignment horizontal="center"/>
    </xf>
    <xf numFmtId="0" fontId="2" fillId="4" borderId="0" xfId="2" applyFont="1" applyFill="1" applyAlignment="1">
      <alignment horizontal="center"/>
    </xf>
    <xf numFmtId="166" fontId="2" fillId="0" borderId="31" xfId="2" applyNumberFormat="1" applyFont="1" applyBorder="1" applyAlignment="1">
      <alignment horizontal="center" vertical="center"/>
    </xf>
    <xf numFmtId="166" fontId="2" fillId="0" borderId="51" xfId="2" applyNumberFormat="1" applyFont="1" applyBorder="1" applyAlignment="1">
      <alignment horizontal="center" vertical="center"/>
    </xf>
    <xf numFmtId="166" fontId="2" fillId="0" borderId="32" xfId="2" applyNumberFormat="1" applyFont="1" applyBorder="1" applyAlignment="1">
      <alignment horizontal="center" vertical="center"/>
    </xf>
    <xf numFmtId="166" fontId="4" fillId="0" borderId="24" xfId="2" applyNumberFormat="1" applyFont="1" applyFill="1" applyBorder="1" applyAlignment="1">
      <alignment horizontal="center" vertical="center"/>
    </xf>
    <xf numFmtId="166" fontId="4" fillId="2" borderId="24" xfId="2" applyNumberFormat="1" applyFont="1" applyFill="1" applyBorder="1" applyAlignment="1">
      <alignment horizontal="center" vertical="center"/>
    </xf>
    <xf numFmtId="166" fontId="2" fillId="0" borderId="52" xfId="2" applyNumberFormat="1" applyFont="1" applyBorder="1" applyAlignment="1">
      <alignment horizontal="center" vertical="center"/>
    </xf>
    <xf numFmtId="166" fontId="2" fillId="0" borderId="35" xfId="2" applyNumberFormat="1" applyFont="1" applyFill="1" applyBorder="1" applyAlignment="1">
      <alignment horizontal="center" vertical="center"/>
    </xf>
    <xf numFmtId="166" fontId="2" fillId="0" borderId="36" xfId="2" applyNumberFormat="1" applyFont="1" applyFill="1" applyBorder="1" applyAlignment="1">
      <alignment horizontal="center" vertical="center"/>
    </xf>
    <xf numFmtId="166" fontId="2" fillId="0" borderId="37" xfId="2" applyNumberFormat="1" applyFont="1" applyFill="1" applyBorder="1" applyAlignment="1">
      <alignment horizontal="center" vertical="center"/>
    </xf>
    <xf numFmtId="166" fontId="2" fillId="0" borderId="43" xfId="2" applyNumberFormat="1" applyFont="1" applyFill="1" applyBorder="1" applyAlignment="1">
      <alignment horizontal="center" vertical="center"/>
    </xf>
    <xf numFmtId="166" fontId="2" fillId="0" borderId="41" xfId="2" applyNumberFormat="1" applyFont="1" applyFill="1" applyBorder="1" applyAlignment="1">
      <alignment horizontal="center" vertical="center"/>
    </xf>
    <xf numFmtId="166" fontId="2" fillId="0" borderId="44" xfId="2" applyNumberFormat="1" applyFont="1" applyFill="1" applyBorder="1" applyAlignment="1">
      <alignment horizontal="center" vertical="center"/>
    </xf>
    <xf numFmtId="166" fontId="2" fillId="0" borderId="42" xfId="2" applyNumberFormat="1" applyFont="1" applyFill="1" applyBorder="1" applyAlignment="1">
      <alignment horizontal="center" vertical="center"/>
    </xf>
    <xf numFmtId="166" fontId="2" fillId="0" borderId="45" xfId="2" applyNumberFormat="1" applyFont="1" applyFill="1" applyBorder="1" applyAlignment="1">
      <alignment horizontal="center" vertical="center"/>
    </xf>
    <xf numFmtId="0" fontId="2" fillId="5" borderId="24" xfId="2" applyFont="1" applyFill="1" applyBorder="1"/>
    <xf numFmtId="166" fontId="2" fillId="0" borderId="24" xfId="2" applyNumberFormat="1" applyFont="1" applyFill="1" applyBorder="1" applyAlignment="1">
      <alignment horizontal="center" vertical="center"/>
    </xf>
    <xf numFmtId="166" fontId="2" fillId="5" borderId="33" xfId="2" applyNumberFormat="1" applyFont="1" applyFill="1" applyBorder="1" applyAlignment="1">
      <alignment horizontal="center" vertical="center"/>
    </xf>
    <xf numFmtId="0" fontId="2" fillId="0" borderId="33" xfId="2" applyFont="1" applyBorder="1"/>
    <xf numFmtId="166" fontId="2" fillId="5" borderId="36" xfId="2" applyNumberFormat="1" applyFont="1" applyFill="1" applyBorder="1" applyAlignment="1">
      <alignment horizontal="center" vertical="center"/>
    </xf>
    <xf numFmtId="166" fontId="4" fillId="5" borderId="33" xfId="2" applyNumberFormat="1" applyFont="1" applyFill="1" applyBorder="1" applyAlignment="1">
      <alignment horizontal="center" vertical="center"/>
    </xf>
    <xf numFmtId="166" fontId="4" fillId="6" borderId="33" xfId="2" applyNumberFormat="1" applyFont="1" applyFill="1" applyBorder="1" applyAlignment="1">
      <alignment horizontal="center" vertical="center"/>
    </xf>
    <xf numFmtId="0" fontId="2" fillId="5" borderId="0" xfId="2" applyFont="1" applyFill="1"/>
    <xf numFmtId="166" fontId="4" fillId="0" borderId="34" xfId="2" applyNumberFormat="1" applyFont="1" applyFill="1" applyBorder="1" applyAlignment="1">
      <alignment horizontal="center" vertical="center"/>
    </xf>
    <xf numFmtId="166" fontId="4" fillId="0" borderId="36" xfId="2" applyNumberFormat="1" applyFont="1" applyFill="1" applyBorder="1" applyAlignment="1">
      <alignment horizontal="center" vertical="center"/>
    </xf>
    <xf numFmtId="0" fontId="10" fillId="0" borderId="1" xfId="4" applyFont="1" applyBorder="1" applyAlignment="1">
      <alignment horizontal="center"/>
    </xf>
    <xf numFmtId="166" fontId="2" fillId="0" borderId="2" xfId="2" applyNumberFormat="1" applyFont="1" applyBorder="1" applyAlignment="1">
      <alignment horizontal="center"/>
    </xf>
    <xf numFmtId="166" fontId="11" fillId="0" borderId="9" xfId="2" applyNumberFormat="1" applyFont="1" applyFill="1" applyBorder="1" applyAlignment="1">
      <alignment horizontal="center" vertical="center"/>
    </xf>
    <xf numFmtId="166" fontId="11" fillId="0" borderId="53" xfId="2" applyNumberFormat="1" applyFont="1" applyFill="1" applyBorder="1" applyAlignment="1">
      <alignment horizontal="center" vertical="center"/>
    </xf>
    <xf numFmtId="166" fontId="11" fillId="0" borderId="54" xfId="2" applyNumberFormat="1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/>
    </xf>
    <xf numFmtId="0" fontId="9" fillId="0" borderId="17" xfId="3" applyFont="1" applyFill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43" fontId="2" fillId="0" borderId="0" xfId="2" applyNumberFormat="1" applyFont="1" applyAlignment="1">
      <alignment horizontal="center"/>
    </xf>
    <xf numFmtId="0" fontId="2" fillId="0" borderId="0" xfId="2" applyFont="1" applyAlignment="1">
      <alignment horizontal="center"/>
    </xf>
    <xf numFmtId="43" fontId="2" fillId="4" borderId="0" xfId="2" applyNumberFormat="1" applyFont="1" applyFill="1" applyAlignment="1">
      <alignment horizontal="center"/>
    </xf>
    <xf numFmtId="0" fontId="2" fillId="4" borderId="0" xfId="2" applyFont="1" applyFill="1" applyAlignment="1">
      <alignment horizontal="center"/>
    </xf>
    <xf numFmtId="0" fontId="11" fillId="0" borderId="4" xfId="2" applyFont="1" applyBorder="1" applyAlignment="1">
      <alignment horizontal="center"/>
    </xf>
    <xf numFmtId="0" fontId="11" fillId="0" borderId="5" xfId="2" applyFont="1" applyBorder="1" applyAlignment="1">
      <alignment horizontal="center"/>
    </xf>
    <xf numFmtId="0" fontId="11" fillId="0" borderId="7" xfId="2" applyFont="1" applyBorder="1" applyAlignment="1">
      <alignment horizontal="center"/>
    </xf>
  </cellXfs>
  <cellStyles count="8">
    <cellStyle name="Comma [0]" xfId="1" builtinId="6"/>
    <cellStyle name="Comma 2 2" xfId="5" xr:uid="{00000000-0005-0000-0000-000001000000}"/>
    <cellStyle name="Comma 3" xfId="6" xr:uid="{00000000-0005-0000-0000-000002000000}"/>
    <cellStyle name="Normal" xfId="0" builtinId="0"/>
    <cellStyle name="Normal 10" xfId="3" xr:uid="{00000000-0005-0000-0000-000004000000}"/>
    <cellStyle name="Normal 2 12" xfId="4" xr:uid="{00000000-0005-0000-0000-000005000000}"/>
    <cellStyle name="Normal 3" xfId="7" xr:uid="{00000000-0005-0000-0000-000006000000}"/>
    <cellStyle name="Normal 4" xfId="2" xr:uid="{00000000-0005-0000-0000-000007000000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'[2]11Jdw'!$BA$24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val>
            <c:numRef>
              <c:f>'[1]11Jdw'!$BA$25:$BA$70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5-4697-AB1D-0EC3DDB14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450472"/>
        <c:axId val="422452040"/>
      </c:lineChart>
      <c:catAx>
        <c:axId val="422450472"/>
        <c:scaling>
          <c:orientation val="minMax"/>
        </c:scaling>
        <c:delete val="1"/>
        <c:axPos val="b"/>
        <c:majorGridlines>
          <c:spPr>
            <a:ln>
              <a:solidFill>
                <a:srgbClr val="FF0000">
                  <a:alpha val="41000"/>
                </a:srgbClr>
              </a:solidFill>
            </a:ln>
          </c:spPr>
        </c:majorGridlines>
        <c:majorTickMark val="out"/>
        <c:minorTickMark val="none"/>
        <c:tickLblPos val="nextTo"/>
        <c:crossAx val="422452040"/>
        <c:crossesAt val="0"/>
        <c:auto val="1"/>
        <c:lblAlgn val="ctr"/>
        <c:lblOffset val="100"/>
        <c:noMultiLvlLbl val="0"/>
      </c:catAx>
      <c:valAx>
        <c:axId val="422452040"/>
        <c:scaling>
          <c:orientation val="minMax"/>
          <c:max val="100"/>
          <c:min val="0"/>
        </c:scaling>
        <c:delete val="0"/>
        <c:axPos val="l"/>
        <c:majorGridlines>
          <c:spPr>
            <a:ln w="19050">
              <a:solidFill>
                <a:srgbClr val="FF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1200"/>
            </a:pPr>
            <a:endParaRPr lang="en-US"/>
          </a:p>
        </c:txPr>
        <c:crossAx val="422450472"/>
        <c:crosses val="autoZero"/>
        <c:crossBetween val="between"/>
        <c:majorUnit val="10"/>
        <c:minorUnit val="10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734630265578139E-3"/>
          <c:y val="9.8458138076869955E-4"/>
          <c:w val="0.9112709392338616"/>
          <c:h val="0.83337078006949539"/>
        </c:manualLayout>
      </c:layout>
      <c:lineChart>
        <c:grouping val="standard"/>
        <c:varyColors val="0"/>
        <c:ser>
          <c:idx val="0"/>
          <c:order val="0"/>
          <c:tx>
            <c:strRef>
              <c:f>'[3]Kurva Eksternal mingguan'!$I$123:$N$123</c:f>
              <c:strCache>
                <c:ptCount val="1"/>
                <c:pt idx="0">
                  <c:v>0 0 0 0 0 0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triangle"/>
            <c:size val="7"/>
            <c:spPr>
              <a:solidFill>
                <a:schemeClr val="tx1"/>
              </a:solidFill>
            </c:spPr>
          </c:marker>
          <c:val>
            <c:numRef>
              <c:f>'[3]Kurva Eksternal mingguan'!$O$123:$DV$123</c:f>
              <c:numCache>
                <c:formatCode>General</c:formatCode>
                <c:ptCount val="112"/>
                <c:pt idx="0">
                  <c:v>0</c:v>
                </c:pt>
                <c:pt idx="1">
                  <c:v>6.2469514886200159E-2</c:v>
                </c:pt>
                <c:pt idx="2">
                  <c:v>0.12493902977240032</c:v>
                </c:pt>
                <c:pt idx="3">
                  <c:v>0.18740854465860046</c:v>
                </c:pt>
                <c:pt idx="4">
                  <c:v>0.24987805954480063</c:v>
                </c:pt>
                <c:pt idx="5">
                  <c:v>0.32828328479128721</c:v>
                </c:pt>
                <c:pt idx="6">
                  <c:v>0.40668851003777379</c:v>
                </c:pt>
                <c:pt idx="7">
                  <c:v>0.48509373528426036</c:v>
                </c:pt>
                <c:pt idx="8">
                  <c:v>0.56349896053074688</c:v>
                </c:pt>
                <c:pt idx="9">
                  <c:v>0.62719245070841023</c:v>
                </c:pt>
                <c:pt idx="10">
                  <c:v>0.69088594088607358</c:v>
                </c:pt>
                <c:pt idx="11">
                  <c:v>0.75457943106373693</c:v>
                </c:pt>
                <c:pt idx="12">
                  <c:v>0.81943787434735871</c:v>
                </c:pt>
                <c:pt idx="13">
                  <c:v>2.6658753194756897</c:v>
                </c:pt>
                <c:pt idx="14">
                  <c:v>3.9586737429956873</c:v>
                </c:pt>
                <c:pt idx="15">
                  <c:v>5.2514721665156845</c:v>
                </c:pt>
                <c:pt idx="16">
                  <c:v>6.5442705900356817</c:v>
                </c:pt>
                <c:pt idx="17">
                  <c:v>8.0627718586662969</c:v>
                </c:pt>
                <c:pt idx="18">
                  <c:v>9.5812731272969121</c:v>
                </c:pt>
                <c:pt idx="19">
                  <c:v>11.099774395927527</c:v>
                </c:pt>
                <c:pt idx="20">
                  <c:v>13.26864447692817</c:v>
                </c:pt>
                <c:pt idx="21">
                  <c:v>14.348425377424235</c:v>
                </c:pt>
                <c:pt idx="22">
                  <c:v>15.293458567218783</c:v>
                </c:pt>
                <c:pt idx="23">
                  <c:v>16.238491757013332</c:v>
                </c:pt>
                <c:pt idx="24">
                  <c:v>17.048777236106364</c:v>
                </c:pt>
                <c:pt idx="25">
                  <c:v>18.346764854364498</c:v>
                </c:pt>
                <c:pt idx="26">
                  <c:v>19.173411235032013</c:v>
                </c:pt>
                <c:pt idx="27">
                  <c:v>20.000057615699529</c:v>
                </c:pt>
                <c:pt idx="28">
                  <c:v>20.708868686969392</c:v>
                </c:pt>
                <c:pt idx="29">
                  <c:v>21.622416764185036</c:v>
                </c:pt>
                <c:pt idx="30">
                  <c:v>22.535964841400681</c:v>
                </c:pt>
                <c:pt idx="31">
                  <c:v>23.449512918616325</c:v>
                </c:pt>
                <c:pt idx="32">
                  <c:v>24.623560670783881</c:v>
                </c:pt>
                <c:pt idx="33">
                  <c:v>25.096869712869506</c:v>
                </c:pt>
                <c:pt idx="34">
                  <c:v>25.758782685835804</c:v>
                </c:pt>
                <c:pt idx="35">
                  <c:v>26.420695658802103</c:v>
                </c:pt>
                <c:pt idx="36">
                  <c:v>27.459816493529747</c:v>
                </c:pt>
                <c:pt idx="37">
                  <c:v>27.8684716800426</c:v>
                </c:pt>
                <c:pt idx="38">
                  <c:v>28.265825311787982</c:v>
                </c:pt>
                <c:pt idx="39">
                  <c:v>28.663178943533364</c:v>
                </c:pt>
                <c:pt idx="40">
                  <c:v>28.82319992516188</c:v>
                </c:pt>
                <c:pt idx="41">
                  <c:v>29.546606601221789</c:v>
                </c:pt>
                <c:pt idx="42">
                  <c:v>31.124625668920803</c:v>
                </c:pt>
                <c:pt idx="43">
                  <c:v>32.717067749054735</c:v>
                </c:pt>
                <c:pt idx="44">
                  <c:v>34.588852019397521</c:v>
                </c:pt>
                <c:pt idx="45">
                  <c:v>37.030574495700186</c:v>
                </c:pt>
                <c:pt idx="46">
                  <c:v>38.669038067434983</c:v>
                </c:pt>
                <c:pt idx="47">
                  <c:v>40.307501639169779</c:v>
                </c:pt>
                <c:pt idx="48">
                  <c:v>41.32593554631152</c:v>
                </c:pt>
                <c:pt idx="49">
                  <c:v>42.606726873565492</c:v>
                </c:pt>
                <c:pt idx="50">
                  <c:v>43.727644186773205</c:v>
                </c:pt>
                <c:pt idx="51">
                  <c:v>44.848561499980917</c:v>
                </c:pt>
                <c:pt idx="52">
                  <c:v>46.129352827234882</c:v>
                </c:pt>
                <c:pt idx="53">
                  <c:v>47.516022237301847</c:v>
                </c:pt>
                <c:pt idx="54">
                  <c:v>48.902691647368812</c:v>
                </c:pt>
                <c:pt idx="55">
                  <c:v>50.289361057435777</c:v>
                </c:pt>
                <c:pt idx="56">
                  <c:v>52.269546265438329</c:v>
                </c:pt>
                <c:pt idx="57">
                  <c:v>53.794557078819508</c:v>
                </c:pt>
                <c:pt idx="58">
                  <c:v>54.862604412651514</c:v>
                </c:pt>
                <c:pt idx="59">
                  <c:v>55.93065174648352</c:v>
                </c:pt>
                <c:pt idx="60">
                  <c:v>56.846377920465805</c:v>
                </c:pt>
                <c:pt idx="61">
                  <c:v>57.554326545580786</c:v>
                </c:pt>
                <c:pt idx="62">
                  <c:v>58.105353079533309</c:v>
                </c:pt>
                <c:pt idx="63">
                  <c:v>58.656379613485832</c:v>
                </c:pt>
                <c:pt idx="64">
                  <c:v>59.285867193019584</c:v>
                </c:pt>
                <c:pt idx="65">
                  <c:v>60.212225642630877</c:v>
                </c:pt>
                <c:pt idx="66">
                  <c:v>61.292677298030057</c:v>
                </c:pt>
                <c:pt idx="67">
                  <c:v>62.373128953429237</c:v>
                </c:pt>
                <c:pt idx="68">
                  <c:v>64.069953431979982</c:v>
                </c:pt>
                <c:pt idx="69">
                  <c:v>65.653656363632606</c:v>
                </c:pt>
                <c:pt idx="70">
                  <c:v>67.237359295285231</c:v>
                </c:pt>
                <c:pt idx="71">
                  <c:v>68.821062226937855</c:v>
                </c:pt>
                <c:pt idx="72">
                  <c:v>70.404765158590479</c:v>
                </c:pt>
                <c:pt idx="73">
                  <c:v>72.385467186520955</c:v>
                </c:pt>
                <c:pt idx="74">
                  <c:v>73.772498370537463</c:v>
                </c:pt>
                <c:pt idx="75">
                  <c:v>75.15952955455397</c:v>
                </c:pt>
                <c:pt idx="76">
                  <c:v>76.546560738570477</c:v>
                </c:pt>
                <c:pt idx="77">
                  <c:v>77.73348915344981</c:v>
                </c:pt>
                <c:pt idx="78">
                  <c:v>79.117939101661719</c:v>
                </c:pt>
                <c:pt idx="79">
                  <c:v>80.502389049873628</c:v>
                </c:pt>
                <c:pt idx="80">
                  <c:v>82.479403598083238</c:v>
                </c:pt>
                <c:pt idx="81">
                  <c:v>84.049075251845494</c:v>
                </c:pt>
                <c:pt idx="82">
                  <c:v>84.965466722741795</c:v>
                </c:pt>
                <c:pt idx="83">
                  <c:v>85.881858193638095</c:v>
                </c:pt>
                <c:pt idx="84">
                  <c:v>86.536937591388011</c:v>
                </c:pt>
                <c:pt idx="85">
                  <c:v>87.416592322925055</c:v>
                </c:pt>
                <c:pt idx="86">
                  <c:v>88.254653120951275</c:v>
                </c:pt>
                <c:pt idx="87">
                  <c:v>88.523965309341989</c:v>
                </c:pt>
                <c:pt idx="88">
                  <c:v>88.831493636805106</c:v>
                </c:pt>
                <c:pt idx="89">
                  <c:v>89.625267318577855</c:v>
                </c:pt>
                <c:pt idx="90">
                  <c:v>90.551036744832075</c:v>
                </c:pt>
                <c:pt idx="91">
                  <c:v>91.476806171086295</c:v>
                </c:pt>
                <c:pt idx="92">
                  <c:v>92.798562830784917</c:v>
                </c:pt>
                <c:pt idx="93">
                  <c:v>93.868858717105553</c:v>
                </c:pt>
                <c:pt idx="94">
                  <c:v>94.550610359267395</c:v>
                </c:pt>
                <c:pt idx="95">
                  <c:v>95.232362001429237</c:v>
                </c:pt>
                <c:pt idx="96">
                  <c:v>95.816977582551374</c:v>
                </c:pt>
                <c:pt idx="97">
                  <c:v>96.237125945760255</c:v>
                </c:pt>
                <c:pt idx="98">
                  <c:v>96.657274308969136</c:v>
                </c:pt>
                <c:pt idx="99">
                  <c:v>97.077422672178017</c:v>
                </c:pt>
                <c:pt idx="100">
                  <c:v>97.617099363479738</c:v>
                </c:pt>
                <c:pt idx="101">
                  <c:v>97.889450291559641</c:v>
                </c:pt>
                <c:pt idx="102">
                  <c:v>98.246021414319316</c:v>
                </c:pt>
                <c:pt idx="103">
                  <c:v>98.602592537078991</c:v>
                </c:pt>
                <c:pt idx="104">
                  <c:v>99.127604049198212</c:v>
                </c:pt>
                <c:pt idx="105">
                  <c:v>99.340917580183344</c:v>
                </c:pt>
                <c:pt idx="106">
                  <c:v>99.520561535700764</c:v>
                </c:pt>
                <c:pt idx="107">
                  <c:v>99.700205491218185</c:v>
                </c:pt>
                <c:pt idx="108">
                  <c:v>99.879849446735605</c:v>
                </c:pt>
                <c:pt idx="109">
                  <c:v>99.919850264399969</c:v>
                </c:pt>
                <c:pt idx="110">
                  <c:v>99.959851082064333</c:v>
                </c:pt>
                <c:pt idx="111">
                  <c:v>99.999851899728696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0-4B0A-8FE0-68B2E1C6E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446160"/>
        <c:axId val="422448120"/>
      </c:lineChart>
      <c:catAx>
        <c:axId val="422446160"/>
        <c:scaling>
          <c:orientation val="minMax"/>
        </c:scaling>
        <c:delete val="1"/>
        <c:axPos val="b"/>
        <c:majorTickMark val="out"/>
        <c:minorTickMark val="none"/>
        <c:tickLblPos val="nextTo"/>
        <c:crossAx val="422448120"/>
        <c:crosses val="autoZero"/>
        <c:auto val="1"/>
        <c:lblAlgn val="ctr"/>
        <c:lblOffset val="100"/>
        <c:noMultiLvlLbl val="0"/>
      </c:catAx>
      <c:valAx>
        <c:axId val="422448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24461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138546</xdr:colOff>
      <xdr:row>8</xdr:row>
      <xdr:rowOff>0</xdr:rowOff>
    </xdr:from>
    <xdr:to>
      <xdr:col>101</xdr:col>
      <xdr:colOff>-1</xdr:colOff>
      <xdr:row>52</xdr:row>
      <xdr:rowOff>179417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1</xdr:row>
      <xdr:rowOff>0</xdr:rowOff>
    </xdr:from>
    <xdr:to>
      <xdr:col>105</xdr:col>
      <xdr:colOff>247650</xdr:colOff>
      <xdr:row>60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5</xdr:col>
      <xdr:colOff>190500</xdr:colOff>
      <xdr:row>58</xdr:row>
      <xdr:rowOff>40825</xdr:rowOff>
    </xdr:from>
    <xdr:to>
      <xdr:col>94</xdr:col>
      <xdr:colOff>0</xdr:colOff>
      <xdr:row>69</xdr:row>
      <xdr:rowOff>14039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300107" y="10654396"/>
          <a:ext cx="34752643" cy="1919036"/>
          <a:chOff x="3908770" y="27044202"/>
          <a:chExt cx="23693570" cy="2330215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22377758" y="27044202"/>
            <a:ext cx="5224582" cy="22723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 b="1">
                <a:latin typeface="Arial Narrow" panose="020B0606020202030204" pitchFamily="34" charset="0"/>
              </a:rPr>
              <a:t>Samarinda, 3 Oktober</a:t>
            </a:r>
            <a:r>
              <a:rPr lang="id-ID" sz="1200" b="1" baseline="0">
                <a:latin typeface="Arial Narrow" panose="020B0606020202030204" pitchFamily="34" charset="0"/>
              </a:rPr>
              <a:t> 2016</a:t>
            </a:r>
          </a:p>
          <a:p>
            <a:endParaRPr lang="id-ID" sz="1200" b="1">
              <a:latin typeface="Arial Narrow" panose="020B0606020202030204" pitchFamily="34" charset="0"/>
            </a:endParaRPr>
          </a:p>
          <a:p>
            <a:r>
              <a:rPr lang="id-ID" sz="1200" b="1">
                <a:latin typeface="Arial Narrow" panose="020B0606020202030204" pitchFamily="34" charset="0"/>
              </a:rPr>
              <a:t>Dibuat Oleh</a:t>
            </a:r>
            <a:r>
              <a:rPr lang="id-ID" sz="1200" b="1" baseline="0">
                <a:latin typeface="Arial Narrow" panose="020B0606020202030204" pitchFamily="34" charset="0"/>
              </a:rPr>
              <a:t> :</a:t>
            </a:r>
            <a:r>
              <a:rPr lang="id-ID" sz="1200" b="1">
                <a:latin typeface="Arial Narrow" panose="020B0606020202030204" pitchFamily="34" charset="0"/>
              </a:rPr>
              <a:t>          </a:t>
            </a:r>
          </a:p>
          <a:p>
            <a:pPr marL="0" indent="0"/>
            <a:r>
              <a:rPr lang="id-ID" sz="1200" b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KONTRAKTOR PELAKSANA</a:t>
            </a:r>
          </a:p>
          <a:p>
            <a:pPr marL="0" indent="0"/>
            <a:r>
              <a:rPr lang="id-ID" sz="1200" b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JAYA KONSTRUKSI - MODERN WIDYA TEHNICAL</a:t>
            </a:r>
          </a:p>
          <a:p>
            <a:pPr marL="0" indent="0"/>
            <a:endParaRPr lang="id-ID" sz="1200" b="1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endParaRPr>
          </a:p>
          <a:p>
            <a:pPr marL="0" indent="0"/>
            <a:endParaRPr lang="id-ID" sz="1200" b="1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endParaRPr>
          </a:p>
          <a:p>
            <a:pPr marL="0" indent="0"/>
            <a:endParaRPr lang="id-ID" sz="1200" b="1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endParaRPr>
          </a:p>
          <a:p>
            <a:pPr marL="0" indent="0"/>
            <a:endParaRPr lang="id-ID" sz="1200" b="1">
              <a:solidFill>
                <a:schemeClr val="dk1"/>
              </a:solidFill>
              <a:latin typeface="Arial Narrow" panose="020B0606020202030204" pitchFamily="34" charset="0"/>
              <a:ea typeface="+mn-ea"/>
              <a:cs typeface="+mn-cs"/>
            </a:endParaRPr>
          </a:p>
          <a:p>
            <a:pPr marL="0" indent="0"/>
            <a:r>
              <a:rPr lang="id-ID" sz="1200" b="1" u="sng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BENNY N. OKTAVIYANTO</a:t>
            </a:r>
            <a:r>
              <a:rPr lang="id-ID" sz="1200" b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                        </a:t>
            </a:r>
          </a:p>
          <a:p>
            <a:pPr marL="0" indent="0"/>
            <a:r>
              <a:rPr lang="id-ID" sz="1200" b="1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rPr>
              <a:t>KEPALA PROYEK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908770" y="27402943"/>
            <a:ext cx="6718408" cy="19714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 b="1" baseline="0">
                <a:latin typeface="Arial Narrow" panose="020B0606020202030204" pitchFamily="34" charset="0"/>
              </a:rPr>
              <a:t>Disetujui Oleh :</a:t>
            </a:r>
          </a:p>
          <a:p>
            <a:r>
              <a:rPr lang="id-ID" sz="1200" b="1" baseline="0">
                <a:latin typeface="Arial Narrow" panose="020B0606020202030204" pitchFamily="34" charset="0"/>
              </a:rPr>
              <a:t>PEJABAT PELAKSANA TEKNIS KEGIATAN</a:t>
            </a:r>
          </a:p>
          <a:p>
            <a:r>
              <a:rPr lang="id-ID" sz="1200" b="1" baseline="0">
                <a:latin typeface="Arial Narrow" panose="020B0606020202030204" pitchFamily="34" charset="0"/>
              </a:rPr>
              <a:t>PROYEK JALAN PENDEKAT JEMBATAN MAHAKAM IV SISI SAMARINDA SEBERANG=23*6</a:t>
            </a: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r>
              <a:rPr lang="id-ID" sz="1200" b="1" u="sng" baseline="0">
                <a:latin typeface="Arial Narrow" panose="020B0606020202030204" pitchFamily="34" charset="0"/>
              </a:rPr>
              <a:t>I NYOMAN SUARDIKA, ST</a:t>
            </a:r>
          </a:p>
          <a:p>
            <a:r>
              <a:rPr lang="id-ID" sz="1200" b="1" u="none" baseline="0">
                <a:latin typeface="Arial Narrow" panose="020B0606020202030204" pitchFamily="34" charset="0"/>
              </a:rPr>
              <a:t>NIP. 19720716 200701 1 005      </a:t>
            </a:r>
            <a:endParaRPr lang="id-ID" sz="1200" b="1" u="none">
              <a:latin typeface="Arial Narrow" panose="020B060602020203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3844175" y="27404118"/>
            <a:ext cx="4186023" cy="18014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 b="1">
                <a:latin typeface="Arial Narrow" panose="020B0606020202030204" pitchFamily="34" charset="0"/>
              </a:rPr>
              <a:t>Diperiksa</a:t>
            </a:r>
            <a:r>
              <a:rPr lang="id-ID" sz="1200" b="1" baseline="0">
                <a:latin typeface="Arial Narrow" panose="020B0606020202030204" pitchFamily="34" charset="0"/>
              </a:rPr>
              <a:t> Oleh :</a:t>
            </a:r>
            <a:r>
              <a:rPr lang="id-ID" sz="1200" b="1">
                <a:latin typeface="Arial Narrow" panose="020B0606020202030204" pitchFamily="34" charset="0"/>
              </a:rPr>
              <a:t>  </a:t>
            </a:r>
          </a:p>
          <a:p>
            <a:r>
              <a:rPr lang="id-ID" sz="1200" b="1">
                <a:latin typeface="Arial Narrow" panose="020B0606020202030204" pitchFamily="34" charset="0"/>
              </a:rPr>
              <a:t>KONSULTAN</a:t>
            </a:r>
            <a:r>
              <a:rPr lang="id-ID" sz="1200" b="1" baseline="0">
                <a:latin typeface="Arial Narrow" panose="020B0606020202030204" pitchFamily="34" charset="0"/>
              </a:rPr>
              <a:t> SUPERVISI</a:t>
            </a:r>
          </a:p>
          <a:p>
            <a:r>
              <a:rPr lang="id-ID" sz="1200" b="1" baseline="0">
                <a:latin typeface="Arial Narrow" panose="020B0606020202030204" pitchFamily="34" charset="0"/>
              </a:rPr>
              <a:t>PT HANATA</a:t>
            </a: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endParaRPr lang="id-ID" sz="1200" b="1" baseline="0">
              <a:latin typeface="Arial Narrow" panose="020B0606020202030204" pitchFamily="34" charset="0"/>
            </a:endParaRPr>
          </a:p>
          <a:p>
            <a:endParaRPr lang="id-ID" sz="1200" b="1" u="none" baseline="0">
              <a:latin typeface="Arial Narrow" panose="020B0606020202030204" pitchFamily="34" charset="0"/>
            </a:endParaRPr>
          </a:p>
          <a:p>
            <a:endParaRPr lang="id-ID" sz="1200" b="1" u="none" baseline="0">
              <a:latin typeface="Arial Narrow" panose="020B0606020202030204" pitchFamily="34" charset="0"/>
            </a:endParaRPr>
          </a:p>
          <a:p>
            <a:r>
              <a:rPr lang="id-ID" sz="1200" b="1" u="sng" baseline="0">
                <a:latin typeface="Arial Narrow" panose="020B0606020202030204" pitchFamily="34" charset="0"/>
              </a:rPr>
              <a:t>Ir. SUTAN G. MANALU</a:t>
            </a:r>
            <a:endParaRPr lang="id-ID" sz="1200" b="1" u="none" baseline="0">
              <a:latin typeface="Arial Narrow" panose="020B0606020202030204" pitchFamily="34" charset="0"/>
            </a:endParaRPr>
          </a:p>
          <a:p>
            <a:r>
              <a:rPr lang="id-ID" sz="1200" b="1" u="none" baseline="0">
                <a:latin typeface="Arial Narrow" panose="020B0606020202030204" pitchFamily="34" charset="0"/>
              </a:rPr>
              <a:t>SITE ENGINEER                    </a:t>
            </a:r>
          </a:p>
        </xdr:txBody>
      </xdr:sp>
    </xdr:grpSp>
    <xdr:clientData/>
  </xdr:twoCellAnchor>
  <xdr:twoCellAnchor>
    <xdr:from>
      <xdr:col>2</xdr:col>
      <xdr:colOff>1375743</xdr:colOff>
      <xdr:row>82</xdr:row>
      <xdr:rowOff>90300</xdr:rowOff>
    </xdr:from>
    <xdr:to>
      <xdr:col>78</xdr:col>
      <xdr:colOff>162790</xdr:colOff>
      <xdr:row>91</xdr:row>
      <xdr:rowOff>190500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42643" y="28802460"/>
          <a:ext cx="54382567" cy="1662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6\Underpass%20Bintaro\JAKON\2007\BONTANG%20SEKSI%20B\Tampil%20Bontang%20Seksi%20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AMPUNG%202012\Pelebaran%20Jalan%20Batas%20Prov.Bengkulu-Punggung%20Tampak%20(43.984.000.000)\Pnwrn%20PgTampak\KB%20DKH%20PgTampak%20jad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myac-my.sharepoint.com/Asisten%20Mankon%202019-2020/Praktikum%20Manajemen%20Konstruksi%20Genap%202018/S-CURVE%20EKSTER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BQ "/>
      <sheetName val="sched"/>
      <sheetName val="Informasi"/>
      <sheetName val="Agregat Halus &amp; Kasar"/>
      <sheetName val="Agregat Kelas A"/>
      <sheetName val="Agregat Kelas B"/>
      <sheetName val="Agregat Kelas C"/>
      <sheetName val="Peralatan"/>
      <sheetName val="Harga ALAT"/>
      <sheetName val="Harga UPAH"/>
      <sheetName val="HargaBAHAN"/>
      <sheetName val="Mobilisasi"/>
      <sheetName val="Lalu Lintas"/>
      <sheetName val="div2"/>
      <sheetName val="div3"/>
      <sheetName val="div4"/>
      <sheetName val="div6"/>
      <sheetName val="div7"/>
      <sheetName val="Div.7 (3)"/>
      <sheetName val="Div7 (2)"/>
      <sheetName val="div8"/>
      <sheetName val="Additional"/>
      <sheetName val="MOB"/>
      <sheetName val="Lamp.11"/>
      <sheetName val="Lamp.9"/>
      <sheetName val="Lamp.6"/>
      <sheetName val="Harga Dasar"/>
      <sheetName val="H.Satuan"/>
      <sheetName val="11Jd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Jdw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rva Eksternal Bulanan"/>
      <sheetName val="Kurva Eksternal mingguan"/>
    </sheetNames>
    <sheetDataSet>
      <sheetData sheetId="0"/>
      <sheetData sheetId="1">
        <row r="123"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6.2469514886200159E-2</v>
          </cell>
          <cell r="Q123">
            <v>0.12493902977240032</v>
          </cell>
          <cell r="R123">
            <v>0.18740854465860046</v>
          </cell>
          <cell r="S123">
            <v>0.24987805954480063</v>
          </cell>
          <cell r="T123">
            <v>0.32828328479128721</v>
          </cell>
          <cell r="U123">
            <v>0.40668851003777379</v>
          </cell>
          <cell r="V123">
            <v>0.48509373528426036</v>
          </cell>
          <cell r="W123">
            <v>0.56349896053074688</v>
          </cell>
          <cell r="X123">
            <v>0.62719245070841023</v>
          </cell>
          <cell r="Y123">
            <v>0.69088594088607358</v>
          </cell>
          <cell r="Z123">
            <v>0.75457943106373693</v>
          </cell>
          <cell r="AA123">
            <v>0.81943787434735871</v>
          </cell>
          <cell r="AB123">
            <v>2.6658753194756897</v>
          </cell>
          <cell r="AC123">
            <v>3.9586737429956873</v>
          </cell>
          <cell r="AD123">
            <v>5.2514721665156845</v>
          </cell>
          <cell r="AE123">
            <v>6.5442705900356817</v>
          </cell>
          <cell r="AF123">
            <v>8.0627718586662969</v>
          </cell>
          <cell r="AG123">
            <v>9.5812731272969121</v>
          </cell>
          <cell r="AH123">
            <v>11.099774395927527</v>
          </cell>
          <cell r="AI123">
            <v>13.26864447692817</v>
          </cell>
          <cell r="AJ123">
            <v>14.348425377424235</v>
          </cell>
          <cell r="AK123">
            <v>15.293458567218783</v>
          </cell>
          <cell r="AL123">
            <v>16.238491757013332</v>
          </cell>
          <cell r="AM123">
            <v>17.048777236106364</v>
          </cell>
          <cell r="AN123">
            <v>18.346764854364498</v>
          </cell>
          <cell r="AO123">
            <v>19.173411235032013</v>
          </cell>
          <cell r="AP123">
            <v>20.000057615699529</v>
          </cell>
          <cell r="AQ123">
            <v>20.708868686969392</v>
          </cell>
          <cell r="AR123">
            <v>21.622416764185036</v>
          </cell>
          <cell r="AS123">
            <v>22.535964841400681</v>
          </cell>
          <cell r="AT123">
            <v>23.449512918616325</v>
          </cell>
          <cell r="AU123">
            <v>24.623560670783881</v>
          </cell>
          <cell r="AV123">
            <v>25.096869712869506</v>
          </cell>
          <cell r="AW123">
            <v>25.758782685835804</v>
          </cell>
          <cell r="AX123">
            <v>26.420695658802103</v>
          </cell>
          <cell r="AY123">
            <v>27.459816493529747</v>
          </cell>
          <cell r="AZ123">
            <v>27.8684716800426</v>
          </cell>
          <cell r="BA123">
            <v>28.265825311787982</v>
          </cell>
          <cell r="BB123">
            <v>28.663178943533364</v>
          </cell>
          <cell r="BC123">
            <v>28.82319992516188</v>
          </cell>
          <cell r="BD123">
            <v>29.546606601221789</v>
          </cell>
          <cell r="BE123">
            <v>31.124625668920803</v>
          </cell>
          <cell r="BF123">
            <v>32.717067749054735</v>
          </cell>
          <cell r="BG123">
            <v>34.588852019397521</v>
          </cell>
          <cell r="BH123">
            <v>37.030574495700186</v>
          </cell>
          <cell r="BI123">
            <v>38.669038067434983</v>
          </cell>
          <cell r="BJ123">
            <v>40.307501639169779</v>
          </cell>
          <cell r="BK123">
            <v>41.32593554631152</v>
          </cell>
          <cell r="BL123">
            <v>42.606726873565492</v>
          </cell>
          <cell r="BM123">
            <v>43.727644186773205</v>
          </cell>
          <cell r="BN123">
            <v>44.848561499980917</v>
          </cell>
          <cell r="BO123">
            <v>46.129352827234882</v>
          </cell>
          <cell r="BP123">
            <v>47.516022237301847</v>
          </cell>
          <cell r="BQ123">
            <v>48.902691647368812</v>
          </cell>
          <cell r="BR123">
            <v>50.289361057435777</v>
          </cell>
          <cell r="BS123">
            <v>52.269546265438329</v>
          </cell>
          <cell r="BT123">
            <v>53.794557078819508</v>
          </cell>
          <cell r="BU123">
            <v>54.862604412651514</v>
          </cell>
          <cell r="BV123">
            <v>55.93065174648352</v>
          </cell>
          <cell r="BW123">
            <v>56.846377920465805</v>
          </cell>
          <cell r="BX123">
            <v>57.554326545580786</v>
          </cell>
          <cell r="BY123">
            <v>58.105353079533309</v>
          </cell>
          <cell r="BZ123">
            <v>58.656379613485832</v>
          </cell>
          <cell r="CA123">
            <v>59.285867193019584</v>
          </cell>
          <cell r="CB123">
            <v>60.212225642630877</v>
          </cell>
          <cell r="CC123">
            <v>61.292677298030057</v>
          </cell>
          <cell r="CD123">
            <v>62.373128953429237</v>
          </cell>
          <cell r="CE123">
            <v>64.069953431979982</v>
          </cell>
          <cell r="CF123">
            <v>65.653656363632606</v>
          </cell>
          <cell r="CG123">
            <v>67.237359295285231</v>
          </cell>
          <cell r="CH123">
            <v>68.821062226937855</v>
          </cell>
          <cell r="CI123">
            <v>70.404765158590479</v>
          </cell>
          <cell r="CJ123">
            <v>72.385467186520955</v>
          </cell>
          <cell r="CK123">
            <v>73.772498370537463</v>
          </cell>
          <cell r="CL123">
            <v>75.15952955455397</v>
          </cell>
          <cell r="CM123">
            <v>76.546560738570477</v>
          </cell>
          <cell r="CN123">
            <v>77.73348915344981</v>
          </cell>
          <cell r="CO123">
            <v>79.117939101661719</v>
          </cell>
          <cell r="CP123">
            <v>80.502389049873628</v>
          </cell>
          <cell r="CQ123">
            <v>82.479403598083238</v>
          </cell>
          <cell r="CR123">
            <v>84.049075251845494</v>
          </cell>
          <cell r="CS123">
            <v>84.965466722741795</v>
          </cell>
          <cell r="CT123">
            <v>85.881858193638095</v>
          </cell>
          <cell r="CU123">
            <v>86.536937591388011</v>
          </cell>
          <cell r="CV123">
            <v>87.416592322925055</v>
          </cell>
          <cell r="CW123">
            <v>88.254653120951275</v>
          </cell>
          <cell r="CX123">
            <v>88.523965309341989</v>
          </cell>
          <cell r="CY123">
            <v>88.831493636805106</v>
          </cell>
          <cell r="CZ123">
            <v>89.625267318577855</v>
          </cell>
          <cell r="DA123">
            <v>90.551036744832075</v>
          </cell>
          <cell r="DB123">
            <v>91.476806171086295</v>
          </cell>
          <cell r="DC123">
            <v>92.798562830784917</v>
          </cell>
          <cell r="DD123">
            <v>93.868858717105553</v>
          </cell>
          <cell r="DE123">
            <v>94.550610359267395</v>
          </cell>
          <cell r="DF123">
            <v>95.232362001429237</v>
          </cell>
          <cell r="DG123">
            <v>95.816977582551374</v>
          </cell>
          <cell r="DH123">
            <v>96.237125945760255</v>
          </cell>
          <cell r="DI123">
            <v>96.657274308969136</v>
          </cell>
          <cell r="DJ123">
            <v>97.077422672178017</v>
          </cell>
          <cell r="DK123">
            <v>97.617099363479738</v>
          </cell>
          <cell r="DL123">
            <v>97.889450291559641</v>
          </cell>
          <cell r="DM123">
            <v>98.246021414319316</v>
          </cell>
          <cell r="DN123">
            <v>98.602592537078991</v>
          </cell>
          <cell r="DO123">
            <v>99.127604049198212</v>
          </cell>
          <cell r="DP123">
            <v>99.340917580183344</v>
          </cell>
          <cell r="DQ123">
            <v>99.520561535700764</v>
          </cell>
          <cell r="DR123">
            <v>99.700205491218185</v>
          </cell>
          <cell r="DS123">
            <v>99.879849446735605</v>
          </cell>
          <cell r="DT123">
            <v>99.919850264399969</v>
          </cell>
          <cell r="DU123">
            <v>99.959851082064333</v>
          </cell>
          <cell r="DV123">
            <v>99.999851899728696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C80"/>
  <sheetViews>
    <sheetView tabSelected="1" zoomScale="56" zoomScaleNormal="25" workbookViewId="0">
      <selection activeCell="CR78" sqref="CR78"/>
    </sheetView>
  </sheetViews>
  <sheetFormatPr defaultColWidth="9.109375" defaultRowHeight="13.8" x14ac:dyDescent="0.25"/>
  <cols>
    <col min="1" max="1" width="9.109375" style="1"/>
    <col min="2" max="2" width="3.5546875" style="1" customWidth="1"/>
    <col min="3" max="3" width="79.109375" style="1" customWidth="1"/>
    <col min="4" max="4" width="0" style="1" hidden="1" customWidth="1"/>
    <col min="5" max="5" width="14.5546875" style="1" hidden="1" customWidth="1"/>
    <col min="6" max="6" width="17.88671875" style="1" hidden="1" customWidth="1"/>
    <col min="7" max="7" width="20.109375" style="1" hidden="1" customWidth="1"/>
    <col min="8" max="8" width="8.5546875" style="2" bestFit="1" customWidth="1"/>
    <col min="9" max="9" width="6.109375" style="2" hidden="1" customWidth="1"/>
    <col min="10" max="10" width="7" style="2" hidden="1" customWidth="1"/>
    <col min="11" max="11" width="8.44140625" style="2" hidden="1" customWidth="1"/>
    <col min="12" max="13" width="7" style="2" hidden="1" customWidth="1"/>
    <col min="14" max="50" width="6.109375" style="1" customWidth="1"/>
    <col min="51" max="54" width="6.109375" style="3" customWidth="1"/>
    <col min="55" max="100" width="6.109375" style="1" customWidth="1"/>
    <col min="101" max="101" width="14.109375" style="1" customWidth="1"/>
    <col min="102" max="16384" width="9.109375" style="1"/>
  </cols>
  <sheetData>
    <row r="6" spans="1:107" ht="14.4" thickBot="1" x14ac:dyDescent="0.3"/>
    <row r="7" spans="1:107" ht="18" x14ac:dyDescent="0.35">
      <c r="B7" s="7"/>
      <c r="C7" s="158" t="s">
        <v>0</v>
      </c>
      <c r="D7" s="8"/>
      <c r="E7" s="9"/>
      <c r="F7" s="9"/>
      <c r="G7" s="153"/>
      <c r="H7" s="156" t="s">
        <v>2</v>
      </c>
      <c r="I7" s="154"/>
      <c r="J7" s="10"/>
      <c r="K7" s="10"/>
      <c r="L7" s="10"/>
      <c r="M7" s="10"/>
      <c r="N7" s="165" t="s">
        <v>147</v>
      </c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7"/>
    </row>
    <row r="8" spans="1:107" s="23" customFormat="1" ht="18.600000000000001" thickBot="1" x14ac:dyDescent="0.4">
      <c r="B8" s="12"/>
      <c r="C8" s="159"/>
      <c r="D8" s="13"/>
      <c r="E8" s="14" t="s">
        <v>3</v>
      </c>
      <c r="F8" s="13" t="s">
        <v>1</v>
      </c>
      <c r="G8" s="12" t="s">
        <v>4</v>
      </c>
      <c r="H8" s="157" t="s">
        <v>5</v>
      </c>
      <c r="I8" s="155" t="s">
        <v>6</v>
      </c>
      <c r="J8" s="11" t="s">
        <v>7</v>
      </c>
      <c r="K8" s="11" t="s">
        <v>8</v>
      </c>
      <c r="L8" s="11" t="s">
        <v>9</v>
      </c>
      <c r="M8" s="11" t="s">
        <v>10</v>
      </c>
      <c r="N8" s="15"/>
      <c r="O8" s="16" t="s">
        <v>11</v>
      </c>
      <c r="P8" s="16" t="s">
        <v>12</v>
      </c>
      <c r="Q8" s="16" t="s">
        <v>13</v>
      </c>
      <c r="R8" s="16" t="s">
        <v>14</v>
      </c>
      <c r="S8" s="16" t="s">
        <v>15</v>
      </c>
      <c r="T8" s="16" t="s">
        <v>16</v>
      </c>
      <c r="U8" s="16" t="s">
        <v>17</v>
      </c>
      <c r="V8" s="16" t="s">
        <v>18</v>
      </c>
      <c r="W8" s="16" t="s">
        <v>19</v>
      </c>
      <c r="X8" s="16" t="s">
        <v>20</v>
      </c>
      <c r="Y8" s="16" t="s">
        <v>21</v>
      </c>
      <c r="Z8" s="16" t="s">
        <v>22</v>
      </c>
      <c r="AA8" s="16" t="s">
        <v>23</v>
      </c>
      <c r="AB8" s="16" t="s">
        <v>24</v>
      </c>
      <c r="AC8" s="16" t="s">
        <v>25</v>
      </c>
      <c r="AD8" s="17" t="s">
        <v>26</v>
      </c>
      <c r="AE8" s="18" t="s">
        <v>27</v>
      </c>
      <c r="AF8" s="16" t="s">
        <v>28</v>
      </c>
      <c r="AG8" s="16" t="s">
        <v>29</v>
      </c>
      <c r="AH8" s="16" t="s">
        <v>30</v>
      </c>
      <c r="AI8" s="16" t="s">
        <v>31</v>
      </c>
      <c r="AJ8" s="16" t="s">
        <v>32</v>
      </c>
      <c r="AK8" s="16" t="s">
        <v>33</v>
      </c>
      <c r="AL8" s="16" t="s">
        <v>34</v>
      </c>
      <c r="AM8" s="16" t="s">
        <v>35</v>
      </c>
      <c r="AN8" s="16" t="s">
        <v>36</v>
      </c>
      <c r="AO8" s="16" t="s">
        <v>37</v>
      </c>
      <c r="AP8" s="16" t="s">
        <v>38</v>
      </c>
      <c r="AQ8" s="16" t="s">
        <v>39</v>
      </c>
      <c r="AR8" s="16" t="s">
        <v>40</v>
      </c>
      <c r="AS8" s="16" t="s">
        <v>41</v>
      </c>
      <c r="AT8" s="16" t="s">
        <v>42</v>
      </c>
      <c r="AU8" s="16" t="s">
        <v>43</v>
      </c>
      <c r="AV8" s="16" t="s">
        <v>44</v>
      </c>
      <c r="AW8" s="16" t="s">
        <v>45</v>
      </c>
      <c r="AX8" s="16" t="s">
        <v>46</v>
      </c>
      <c r="AY8" s="16" t="s">
        <v>47</v>
      </c>
      <c r="AZ8" s="16" t="s">
        <v>48</v>
      </c>
      <c r="BA8" s="16" t="s">
        <v>49</v>
      </c>
      <c r="BB8" s="19" t="s">
        <v>50</v>
      </c>
      <c r="BC8" s="19" t="s">
        <v>51</v>
      </c>
      <c r="BD8" s="16" t="s">
        <v>52</v>
      </c>
      <c r="BE8" s="16" t="s">
        <v>53</v>
      </c>
      <c r="BF8" s="16" t="s">
        <v>54</v>
      </c>
      <c r="BG8" s="16" t="s">
        <v>55</v>
      </c>
      <c r="BH8" s="16" t="s">
        <v>56</v>
      </c>
      <c r="BI8" s="16" t="s">
        <v>57</v>
      </c>
      <c r="BJ8" s="16" t="s">
        <v>58</v>
      </c>
      <c r="BK8" s="16" t="s">
        <v>59</v>
      </c>
      <c r="BL8" s="16" t="s">
        <v>60</v>
      </c>
      <c r="BM8" s="16" t="s">
        <v>61</v>
      </c>
      <c r="BN8" s="16" t="s">
        <v>62</v>
      </c>
      <c r="BO8" s="16" t="s">
        <v>63</v>
      </c>
      <c r="BP8" s="16" t="s">
        <v>64</v>
      </c>
      <c r="BQ8" s="16" t="s">
        <v>65</v>
      </c>
      <c r="BR8" s="16" t="s">
        <v>66</v>
      </c>
      <c r="BS8" s="16" t="s">
        <v>67</v>
      </c>
      <c r="BT8" s="16" t="s">
        <v>68</v>
      </c>
      <c r="BU8" s="16" t="s">
        <v>69</v>
      </c>
      <c r="BV8" s="16" t="s">
        <v>70</v>
      </c>
      <c r="BW8" s="16" t="s">
        <v>71</v>
      </c>
      <c r="BX8" s="16" t="s">
        <v>72</v>
      </c>
      <c r="BY8" s="16" t="s">
        <v>73</v>
      </c>
      <c r="BZ8" s="20" t="s">
        <v>74</v>
      </c>
      <c r="CA8" s="21" t="s">
        <v>75</v>
      </c>
      <c r="CB8" s="16" t="s">
        <v>76</v>
      </c>
      <c r="CC8" s="16" t="s">
        <v>77</v>
      </c>
      <c r="CD8" s="16" t="s">
        <v>78</v>
      </c>
      <c r="CE8" s="16" t="s">
        <v>79</v>
      </c>
      <c r="CF8" s="16" t="s">
        <v>80</v>
      </c>
      <c r="CG8" s="16" t="s">
        <v>81</v>
      </c>
      <c r="CH8" s="16" t="s">
        <v>82</v>
      </c>
      <c r="CI8" s="16" t="s">
        <v>83</v>
      </c>
      <c r="CJ8" s="16" t="s">
        <v>84</v>
      </c>
      <c r="CK8" s="16" t="s">
        <v>85</v>
      </c>
      <c r="CL8" s="16" t="s">
        <v>86</v>
      </c>
      <c r="CM8" s="16" t="s">
        <v>87</v>
      </c>
      <c r="CN8" s="16" t="s">
        <v>88</v>
      </c>
      <c r="CO8" s="16" t="s">
        <v>89</v>
      </c>
      <c r="CP8" s="16" t="s">
        <v>90</v>
      </c>
      <c r="CQ8" s="16" t="s">
        <v>136</v>
      </c>
      <c r="CR8" s="16" t="s">
        <v>137</v>
      </c>
      <c r="CS8" s="16" t="s">
        <v>138</v>
      </c>
      <c r="CT8" s="16" t="s">
        <v>139</v>
      </c>
      <c r="CU8" s="16" t="s">
        <v>140</v>
      </c>
      <c r="CV8" s="16" t="s">
        <v>141</v>
      </c>
      <c r="CW8" s="22"/>
    </row>
    <row r="9" spans="1:107" x14ac:dyDescent="0.25">
      <c r="A9" s="1">
        <v>2</v>
      </c>
      <c r="B9" s="24"/>
      <c r="C9" s="25" t="s">
        <v>125</v>
      </c>
      <c r="D9" s="26"/>
      <c r="E9" s="27"/>
      <c r="F9" s="28"/>
      <c r="G9" s="28"/>
      <c r="H9" s="29"/>
      <c r="I9" s="30"/>
      <c r="J9" s="30"/>
      <c r="K9" s="30"/>
      <c r="L9" s="31"/>
      <c r="M9" s="31"/>
      <c r="N9" s="32"/>
      <c r="O9" s="33"/>
      <c r="P9" s="33"/>
      <c r="Q9" s="33"/>
      <c r="R9" s="33"/>
      <c r="S9" s="34"/>
      <c r="T9" s="34"/>
      <c r="U9" s="34"/>
      <c r="V9" s="34"/>
      <c r="W9" s="34"/>
      <c r="X9" s="35"/>
      <c r="Y9" s="35"/>
      <c r="Z9" s="35"/>
      <c r="AA9" s="34"/>
      <c r="AB9" s="34"/>
      <c r="AC9" s="34"/>
      <c r="AD9" s="35"/>
      <c r="AE9" s="36"/>
      <c r="AF9" s="37"/>
      <c r="AG9" s="37"/>
      <c r="AH9" s="37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8"/>
      <c r="AZ9" s="38"/>
      <c r="BA9" s="38"/>
      <c r="BB9" s="39"/>
      <c r="BC9" s="39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5"/>
      <c r="BU9" s="35"/>
      <c r="BV9" s="35"/>
      <c r="BW9" s="35"/>
      <c r="BX9" s="34"/>
      <c r="BY9" s="34"/>
      <c r="BZ9" s="40"/>
      <c r="CA9" s="37"/>
      <c r="CB9" s="37"/>
      <c r="CC9" s="37"/>
      <c r="CD9" s="37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42"/>
      <c r="CX9" s="43"/>
      <c r="CY9" s="43"/>
      <c r="CZ9" s="43"/>
      <c r="DA9" s="43"/>
      <c r="DB9" s="43"/>
      <c r="DC9" s="43"/>
    </row>
    <row r="10" spans="1:107" x14ac:dyDescent="0.25">
      <c r="A10" s="1">
        <v>3</v>
      </c>
      <c r="B10" s="52">
        <v>1</v>
      </c>
      <c r="C10" s="44" t="s">
        <v>126</v>
      </c>
      <c r="D10" s="45" t="s">
        <v>91</v>
      </c>
      <c r="E10" s="46">
        <v>1</v>
      </c>
      <c r="F10" s="47">
        <v>17000000</v>
      </c>
      <c r="G10" s="47">
        <f t="shared" ref="G10:G15" si="0">E10*F10</f>
        <v>17000000</v>
      </c>
      <c r="H10" s="48">
        <v>1.7818029091842068E-2</v>
      </c>
      <c r="I10" s="30"/>
      <c r="J10" s="30"/>
      <c r="K10" s="30"/>
      <c r="L10" s="31"/>
      <c r="M10" s="31"/>
      <c r="N10" s="32"/>
      <c r="O10" s="143">
        <f>$H$10/3</f>
        <v>5.9393430306140223E-3</v>
      </c>
      <c r="P10" s="143">
        <f>$H$10/3</f>
        <v>5.9393430306140223E-3</v>
      </c>
      <c r="Q10" s="143">
        <f>$H$10/3</f>
        <v>5.9393430306140223E-3</v>
      </c>
      <c r="R10" s="32"/>
      <c r="S10" s="144"/>
      <c r="T10" s="41"/>
      <c r="U10" s="41"/>
      <c r="V10" s="41"/>
      <c r="W10" s="41"/>
      <c r="X10" s="129"/>
      <c r="Y10" s="129"/>
      <c r="Z10" s="129"/>
      <c r="AA10" s="41"/>
      <c r="AB10" s="41"/>
      <c r="AC10" s="41"/>
      <c r="AD10" s="129"/>
      <c r="AE10" s="130"/>
      <c r="AF10" s="131"/>
      <c r="AG10" s="131"/>
      <c r="AH10" s="13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132"/>
      <c r="AZ10" s="132"/>
      <c r="BA10" s="132"/>
      <c r="BB10" s="133"/>
      <c r="BC10" s="133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129"/>
      <c r="BU10" s="129"/>
      <c r="BV10" s="129"/>
      <c r="BW10" s="129"/>
      <c r="BX10" s="41"/>
      <c r="BY10" s="41"/>
      <c r="BZ10" s="134"/>
      <c r="CA10" s="131"/>
      <c r="CB10" s="131"/>
      <c r="CC10" s="131"/>
      <c r="CD10" s="13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2"/>
      <c r="CX10" s="43">
        <f t="shared" ref="CX10:CX15" si="1">SUM(N10:CV10)</f>
        <v>1.7818029091842068E-2</v>
      </c>
      <c r="CY10" s="43"/>
      <c r="CZ10" s="43"/>
      <c r="DA10" s="43"/>
      <c r="DB10" s="43"/>
      <c r="DC10" s="43"/>
    </row>
    <row r="11" spans="1:107" x14ac:dyDescent="0.25">
      <c r="A11" s="1">
        <v>4</v>
      </c>
      <c r="B11" s="52">
        <v>2</v>
      </c>
      <c r="C11" s="44" t="s">
        <v>135</v>
      </c>
      <c r="D11" s="45" t="s">
        <v>91</v>
      </c>
      <c r="E11" s="46">
        <v>1</v>
      </c>
      <c r="F11" s="47">
        <v>2475000000</v>
      </c>
      <c r="G11" s="47">
        <f t="shared" si="0"/>
        <v>2475000000</v>
      </c>
      <c r="H11" s="48">
        <v>2.5940954119005362</v>
      </c>
      <c r="I11" s="49"/>
      <c r="J11" s="49"/>
      <c r="K11" s="49"/>
      <c r="L11" s="49">
        <v>6</v>
      </c>
      <c r="M11" s="49">
        <v>5</v>
      </c>
      <c r="N11" s="50"/>
      <c r="O11" s="145">
        <f>$H$11/9</f>
        <v>0.28823282354450402</v>
      </c>
      <c r="P11" s="145">
        <f t="shared" ref="P11:W11" si="2">$H$11/9</f>
        <v>0.28823282354450402</v>
      </c>
      <c r="Q11" s="145">
        <f t="shared" si="2"/>
        <v>0.28823282354450402</v>
      </c>
      <c r="R11" s="145">
        <f t="shared" si="2"/>
        <v>0.28823282354450402</v>
      </c>
      <c r="S11" s="145">
        <f t="shared" si="2"/>
        <v>0.28823282354450402</v>
      </c>
      <c r="T11" s="145">
        <f t="shared" si="2"/>
        <v>0.28823282354450402</v>
      </c>
      <c r="U11" s="145">
        <f t="shared" si="2"/>
        <v>0.28823282354450402</v>
      </c>
      <c r="V11" s="145">
        <f t="shared" si="2"/>
        <v>0.28823282354450402</v>
      </c>
      <c r="W11" s="145">
        <f t="shared" si="2"/>
        <v>0.28823282354450402</v>
      </c>
      <c r="X11" s="58"/>
      <c r="Y11" s="58"/>
      <c r="Z11" s="58"/>
      <c r="AA11" s="58"/>
      <c r="AB11" s="58"/>
      <c r="AC11" s="58"/>
      <c r="AD11" s="74"/>
      <c r="AE11" s="135"/>
      <c r="AF11" s="136"/>
      <c r="AG11" s="136"/>
      <c r="AH11" s="136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1"/>
      <c r="AZ11" s="51"/>
      <c r="BA11" s="51"/>
      <c r="BB11" s="51"/>
      <c r="BC11" s="51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74"/>
      <c r="BU11" s="74"/>
      <c r="BV11" s="74"/>
      <c r="BW11" s="74"/>
      <c r="BX11" s="58"/>
      <c r="BY11" s="58"/>
      <c r="BZ11" s="137"/>
      <c r="CA11" s="136"/>
      <c r="CB11" s="136"/>
      <c r="CC11" s="136"/>
      <c r="CD11" s="136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42"/>
      <c r="CX11" s="43">
        <f t="shared" si="1"/>
        <v>2.5940954119005362</v>
      </c>
      <c r="CY11" s="43">
        <f>H11-CX11</f>
        <v>0</v>
      </c>
      <c r="CZ11" s="43"/>
      <c r="DA11" s="43"/>
      <c r="DB11" s="43"/>
      <c r="DC11" s="43"/>
    </row>
    <row r="12" spans="1:107" x14ac:dyDescent="0.25">
      <c r="A12" s="1">
        <v>5</v>
      </c>
      <c r="B12" s="52">
        <v>3</v>
      </c>
      <c r="C12" s="53" t="s">
        <v>92</v>
      </c>
      <c r="D12" s="54" t="s">
        <v>91</v>
      </c>
      <c r="E12" s="55">
        <v>1</v>
      </c>
      <c r="F12" s="56">
        <v>263690000</v>
      </c>
      <c r="G12" s="56">
        <f t="shared" si="0"/>
        <v>263690000</v>
      </c>
      <c r="H12" s="57">
        <v>0.27637859360163736</v>
      </c>
      <c r="I12" s="49"/>
      <c r="J12" s="49"/>
      <c r="K12" s="49"/>
      <c r="L12" s="49">
        <v>108</v>
      </c>
      <c r="M12" s="49">
        <f>ROUNDUP($L12/4,0)</f>
        <v>27</v>
      </c>
      <c r="N12" s="50"/>
      <c r="O12" s="148">
        <f>$H$12/86</f>
        <v>3.2137045767632252E-3</v>
      </c>
      <c r="P12" s="148">
        <f t="shared" ref="P12:CA12" si="3">$H$12/86</f>
        <v>3.2137045767632252E-3</v>
      </c>
      <c r="Q12" s="148">
        <f t="shared" si="3"/>
        <v>3.2137045767632252E-3</v>
      </c>
      <c r="R12" s="148">
        <f t="shared" si="3"/>
        <v>3.2137045767632252E-3</v>
      </c>
      <c r="S12" s="148">
        <f t="shared" si="3"/>
        <v>3.2137045767632252E-3</v>
      </c>
      <c r="T12" s="148">
        <f t="shared" si="3"/>
        <v>3.2137045767632252E-3</v>
      </c>
      <c r="U12" s="148">
        <f t="shared" si="3"/>
        <v>3.2137045767632252E-3</v>
      </c>
      <c r="V12" s="148">
        <f t="shared" si="3"/>
        <v>3.2137045767632252E-3</v>
      </c>
      <c r="W12" s="148">
        <f t="shared" si="3"/>
        <v>3.2137045767632252E-3</v>
      </c>
      <c r="X12" s="148">
        <f t="shared" si="3"/>
        <v>3.2137045767632252E-3</v>
      </c>
      <c r="Y12" s="148">
        <f t="shared" si="3"/>
        <v>3.2137045767632252E-3</v>
      </c>
      <c r="Z12" s="148">
        <f t="shared" si="3"/>
        <v>3.2137045767632252E-3</v>
      </c>
      <c r="AA12" s="148">
        <f t="shared" si="3"/>
        <v>3.2137045767632252E-3</v>
      </c>
      <c r="AB12" s="148">
        <f t="shared" si="3"/>
        <v>3.2137045767632252E-3</v>
      </c>
      <c r="AC12" s="148">
        <f t="shared" si="3"/>
        <v>3.2137045767632252E-3</v>
      </c>
      <c r="AD12" s="148">
        <f t="shared" si="3"/>
        <v>3.2137045767632252E-3</v>
      </c>
      <c r="AE12" s="148">
        <f t="shared" si="3"/>
        <v>3.2137045767632252E-3</v>
      </c>
      <c r="AF12" s="148">
        <f t="shared" si="3"/>
        <v>3.2137045767632252E-3</v>
      </c>
      <c r="AG12" s="148">
        <f t="shared" si="3"/>
        <v>3.2137045767632252E-3</v>
      </c>
      <c r="AH12" s="148">
        <f t="shared" si="3"/>
        <v>3.2137045767632252E-3</v>
      </c>
      <c r="AI12" s="148">
        <f t="shared" si="3"/>
        <v>3.2137045767632252E-3</v>
      </c>
      <c r="AJ12" s="148">
        <f t="shared" si="3"/>
        <v>3.2137045767632252E-3</v>
      </c>
      <c r="AK12" s="148">
        <f t="shared" si="3"/>
        <v>3.2137045767632252E-3</v>
      </c>
      <c r="AL12" s="148">
        <f t="shared" si="3"/>
        <v>3.2137045767632252E-3</v>
      </c>
      <c r="AM12" s="148">
        <f t="shared" si="3"/>
        <v>3.2137045767632252E-3</v>
      </c>
      <c r="AN12" s="148">
        <f t="shared" si="3"/>
        <v>3.2137045767632252E-3</v>
      </c>
      <c r="AO12" s="148">
        <f t="shared" si="3"/>
        <v>3.2137045767632252E-3</v>
      </c>
      <c r="AP12" s="148">
        <f t="shared" si="3"/>
        <v>3.2137045767632252E-3</v>
      </c>
      <c r="AQ12" s="148">
        <f t="shared" si="3"/>
        <v>3.2137045767632252E-3</v>
      </c>
      <c r="AR12" s="148">
        <f t="shared" si="3"/>
        <v>3.2137045767632252E-3</v>
      </c>
      <c r="AS12" s="148">
        <f t="shared" si="3"/>
        <v>3.2137045767632252E-3</v>
      </c>
      <c r="AT12" s="148">
        <f t="shared" si="3"/>
        <v>3.2137045767632252E-3</v>
      </c>
      <c r="AU12" s="148">
        <f t="shared" si="3"/>
        <v>3.2137045767632252E-3</v>
      </c>
      <c r="AV12" s="148">
        <f t="shared" si="3"/>
        <v>3.2137045767632252E-3</v>
      </c>
      <c r="AW12" s="148">
        <f t="shared" si="3"/>
        <v>3.2137045767632252E-3</v>
      </c>
      <c r="AX12" s="148">
        <f t="shared" si="3"/>
        <v>3.2137045767632252E-3</v>
      </c>
      <c r="AY12" s="148">
        <f t="shared" si="3"/>
        <v>3.2137045767632252E-3</v>
      </c>
      <c r="AZ12" s="148">
        <f t="shared" si="3"/>
        <v>3.2137045767632252E-3</v>
      </c>
      <c r="BA12" s="148">
        <f t="shared" si="3"/>
        <v>3.2137045767632252E-3</v>
      </c>
      <c r="BB12" s="148">
        <f t="shared" si="3"/>
        <v>3.2137045767632252E-3</v>
      </c>
      <c r="BC12" s="148">
        <f t="shared" si="3"/>
        <v>3.2137045767632252E-3</v>
      </c>
      <c r="BD12" s="148">
        <f t="shared" si="3"/>
        <v>3.2137045767632252E-3</v>
      </c>
      <c r="BE12" s="148">
        <f t="shared" si="3"/>
        <v>3.2137045767632252E-3</v>
      </c>
      <c r="BF12" s="148">
        <f t="shared" si="3"/>
        <v>3.2137045767632252E-3</v>
      </c>
      <c r="BG12" s="148">
        <f t="shared" si="3"/>
        <v>3.2137045767632252E-3</v>
      </c>
      <c r="BH12" s="148">
        <f t="shared" si="3"/>
        <v>3.2137045767632252E-3</v>
      </c>
      <c r="BI12" s="148">
        <f t="shared" si="3"/>
        <v>3.2137045767632252E-3</v>
      </c>
      <c r="BJ12" s="148">
        <f t="shared" si="3"/>
        <v>3.2137045767632252E-3</v>
      </c>
      <c r="BK12" s="148">
        <f t="shared" si="3"/>
        <v>3.2137045767632252E-3</v>
      </c>
      <c r="BL12" s="148">
        <f t="shared" si="3"/>
        <v>3.2137045767632252E-3</v>
      </c>
      <c r="BM12" s="148">
        <f t="shared" si="3"/>
        <v>3.2137045767632252E-3</v>
      </c>
      <c r="BN12" s="148">
        <f t="shared" si="3"/>
        <v>3.2137045767632252E-3</v>
      </c>
      <c r="BO12" s="148">
        <f t="shared" si="3"/>
        <v>3.2137045767632252E-3</v>
      </c>
      <c r="BP12" s="148">
        <f t="shared" si="3"/>
        <v>3.2137045767632252E-3</v>
      </c>
      <c r="BQ12" s="148">
        <f t="shared" si="3"/>
        <v>3.2137045767632252E-3</v>
      </c>
      <c r="BR12" s="148">
        <f t="shared" si="3"/>
        <v>3.2137045767632252E-3</v>
      </c>
      <c r="BS12" s="148">
        <f t="shared" si="3"/>
        <v>3.2137045767632252E-3</v>
      </c>
      <c r="BT12" s="148">
        <f t="shared" si="3"/>
        <v>3.2137045767632252E-3</v>
      </c>
      <c r="BU12" s="148">
        <f t="shared" si="3"/>
        <v>3.2137045767632252E-3</v>
      </c>
      <c r="BV12" s="148">
        <f t="shared" si="3"/>
        <v>3.2137045767632252E-3</v>
      </c>
      <c r="BW12" s="148">
        <f t="shared" si="3"/>
        <v>3.2137045767632252E-3</v>
      </c>
      <c r="BX12" s="148">
        <f t="shared" si="3"/>
        <v>3.2137045767632252E-3</v>
      </c>
      <c r="BY12" s="148">
        <f t="shared" si="3"/>
        <v>3.2137045767632252E-3</v>
      </c>
      <c r="BZ12" s="148">
        <f t="shared" si="3"/>
        <v>3.2137045767632252E-3</v>
      </c>
      <c r="CA12" s="148">
        <f t="shared" si="3"/>
        <v>3.2137045767632252E-3</v>
      </c>
      <c r="CB12" s="148">
        <f t="shared" ref="CB12:CV12" si="4">$H$12/86</f>
        <v>3.2137045767632252E-3</v>
      </c>
      <c r="CC12" s="148">
        <f t="shared" si="4"/>
        <v>3.2137045767632252E-3</v>
      </c>
      <c r="CD12" s="148">
        <f t="shared" si="4"/>
        <v>3.2137045767632252E-3</v>
      </c>
      <c r="CE12" s="148">
        <f t="shared" si="4"/>
        <v>3.2137045767632252E-3</v>
      </c>
      <c r="CF12" s="148">
        <f t="shared" si="4"/>
        <v>3.2137045767632252E-3</v>
      </c>
      <c r="CG12" s="148">
        <f t="shared" si="4"/>
        <v>3.2137045767632252E-3</v>
      </c>
      <c r="CH12" s="148">
        <f t="shared" si="4"/>
        <v>3.2137045767632252E-3</v>
      </c>
      <c r="CI12" s="148">
        <f t="shared" si="4"/>
        <v>3.2137045767632252E-3</v>
      </c>
      <c r="CJ12" s="148">
        <f t="shared" si="4"/>
        <v>3.2137045767632252E-3</v>
      </c>
      <c r="CK12" s="148">
        <f t="shared" si="4"/>
        <v>3.2137045767632252E-3</v>
      </c>
      <c r="CL12" s="148">
        <f t="shared" si="4"/>
        <v>3.2137045767632252E-3</v>
      </c>
      <c r="CM12" s="148">
        <f t="shared" si="4"/>
        <v>3.2137045767632252E-3</v>
      </c>
      <c r="CN12" s="148">
        <f t="shared" si="4"/>
        <v>3.2137045767632252E-3</v>
      </c>
      <c r="CO12" s="148">
        <f t="shared" si="4"/>
        <v>3.2137045767632252E-3</v>
      </c>
      <c r="CP12" s="148">
        <f t="shared" si="4"/>
        <v>3.2137045767632252E-3</v>
      </c>
      <c r="CQ12" s="148">
        <f t="shared" si="4"/>
        <v>3.2137045767632252E-3</v>
      </c>
      <c r="CR12" s="148">
        <f t="shared" si="4"/>
        <v>3.2137045767632252E-3</v>
      </c>
      <c r="CS12" s="148">
        <f t="shared" si="4"/>
        <v>3.2137045767632252E-3</v>
      </c>
      <c r="CT12" s="148">
        <f t="shared" si="4"/>
        <v>3.2137045767632252E-3</v>
      </c>
      <c r="CU12" s="148">
        <f t="shared" si="4"/>
        <v>3.2137045767632252E-3</v>
      </c>
      <c r="CV12" s="148">
        <f t="shared" si="4"/>
        <v>3.2137045767632252E-3</v>
      </c>
      <c r="CW12" s="42"/>
      <c r="CX12" s="43">
        <f t="shared" si="1"/>
        <v>0.2763785936016378</v>
      </c>
      <c r="CY12" s="43">
        <f>H12-CX12</f>
        <v>-4.4408920985006262E-16</v>
      </c>
      <c r="CZ12" s="43"/>
      <c r="DA12" s="43"/>
      <c r="DB12" s="43"/>
      <c r="DC12" s="43"/>
    </row>
    <row r="13" spans="1:107" ht="14.1" customHeight="1" x14ac:dyDescent="0.25">
      <c r="A13" s="1">
        <v>6</v>
      </c>
      <c r="B13" s="52">
        <v>4</v>
      </c>
      <c r="C13" s="53" t="s">
        <v>93</v>
      </c>
      <c r="D13" s="54" t="s">
        <v>94</v>
      </c>
      <c r="E13" s="55">
        <v>320</v>
      </c>
      <c r="F13" s="56">
        <v>856166.66666666663</v>
      </c>
      <c r="G13" s="56">
        <f t="shared" si="0"/>
        <v>273973333.33333331</v>
      </c>
      <c r="H13" s="57">
        <v>0.28715675433660454</v>
      </c>
      <c r="I13" s="49"/>
      <c r="J13" s="49"/>
      <c r="K13" s="49"/>
      <c r="L13" s="49">
        <v>8</v>
      </c>
      <c r="M13" s="49">
        <f>ROUNDUP($L13/4,0)</f>
        <v>2</v>
      </c>
      <c r="N13" s="59"/>
      <c r="O13" s="58"/>
      <c r="P13" s="145">
        <f>$H$13/8</f>
        <v>3.5894594292075567E-2</v>
      </c>
      <c r="Q13" s="145">
        <f t="shared" ref="Q13:W13" si="5">$H$13/8</f>
        <v>3.5894594292075567E-2</v>
      </c>
      <c r="R13" s="145">
        <f t="shared" si="5"/>
        <v>3.5894594292075567E-2</v>
      </c>
      <c r="S13" s="145">
        <f t="shared" si="5"/>
        <v>3.5894594292075567E-2</v>
      </c>
      <c r="T13" s="145">
        <f t="shared" si="5"/>
        <v>3.5894594292075567E-2</v>
      </c>
      <c r="U13" s="145">
        <f t="shared" si="5"/>
        <v>3.5894594292075567E-2</v>
      </c>
      <c r="V13" s="145">
        <f t="shared" si="5"/>
        <v>3.5894594292075567E-2</v>
      </c>
      <c r="W13" s="145">
        <f t="shared" si="5"/>
        <v>3.5894594292075567E-2</v>
      </c>
      <c r="X13" s="58"/>
      <c r="Y13" s="58"/>
      <c r="Z13" s="58"/>
      <c r="AA13" s="58"/>
      <c r="AB13" s="58"/>
      <c r="AC13" s="58"/>
      <c r="AD13" s="74"/>
      <c r="AE13" s="135"/>
      <c r="AF13" s="136"/>
      <c r="AG13" s="136"/>
      <c r="AH13" s="136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1"/>
      <c r="AZ13" s="51"/>
      <c r="BA13" s="51"/>
      <c r="BB13" s="51"/>
      <c r="BC13" s="51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74"/>
      <c r="BU13" s="74"/>
      <c r="BV13" s="74"/>
      <c r="BW13" s="74"/>
      <c r="BX13" s="58"/>
      <c r="BY13" s="58"/>
      <c r="BZ13" s="74"/>
      <c r="CA13" s="135"/>
      <c r="CB13" s="136"/>
      <c r="CC13" s="136"/>
      <c r="CD13" s="136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42"/>
      <c r="CX13" s="43">
        <f t="shared" si="1"/>
        <v>0.28715675433660454</v>
      </c>
      <c r="CY13" s="43">
        <f>H13-CX13</f>
        <v>0</v>
      </c>
      <c r="CZ13" s="43"/>
      <c r="DA13" s="43"/>
      <c r="DB13" s="43"/>
      <c r="DC13" s="43"/>
    </row>
    <row r="14" spans="1:107" x14ac:dyDescent="0.25">
      <c r="A14" s="1">
        <v>7</v>
      </c>
      <c r="B14" s="52">
        <v>5</v>
      </c>
      <c r="C14" s="53" t="s">
        <v>95</v>
      </c>
      <c r="D14" s="54" t="s">
        <v>94</v>
      </c>
      <c r="E14" s="55">
        <v>120</v>
      </c>
      <c r="F14" s="56">
        <v>1009250</v>
      </c>
      <c r="G14" s="56">
        <f t="shared" si="0"/>
        <v>121110000</v>
      </c>
      <c r="H14" s="57">
        <v>0.12693773548899959</v>
      </c>
      <c r="I14" s="49"/>
      <c r="J14" s="49"/>
      <c r="K14" s="49"/>
      <c r="L14" s="49">
        <v>4</v>
      </c>
      <c r="M14" s="49">
        <f>ROUNDUP($L14/4,0)</f>
        <v>1</v>
      </c>
      <c r="N14" s="59"/>
      <c r="O14" s="58"/>
      <c r="P14" s="145">
        <f>$H$14/4</f>
        <v>3.1734433872249897E-2</v>
      </c>
      <c r="Q14" s="145">
        <f>$H$14/4</f>
        <v>3.1734433872249897E-2</v>
      </c>
      <c r="R14" s="145">
        <f>$H$14/4</f>
        <v>3.1734433872249897E-2</v>
      </c>
      <c r="S14" s="145">
        <f>$H$14/4</f>
        <v>3.1734433872249897E-2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74"/>
      <c r="AE14" s="135"/>
      <c r="AF14" s="136"/>
      <c r="AG14" s="136"/>
      <c r="AH14" s="136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1"/>
      <c r="AZ14" s="51"/>
      <c r="BA14" s="51"/>
      <c r="BB14" s="51"/>
      <c r="BC14" s="51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74"/>
      <c r="BU14" s="74"/>
      <c r="BV14" s="74"/>
      <c r="BW14" s="74"/>
      <c r="BX14" s="58"/>
      <c r="BY14" s="58"/>
      <c r="BZ14" s="74"/>
      <c r="CA14" s="135"/>
      <c r="CB14" s="136"/>
      <c r="CC14" s="136"/>
      <c r="CD14" s="136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42"/>
      <c r="CX14" s="43">
        <f t="shared" si="1"/>
        <v>0.12693773548899959</v>
      </c>
      <c r="CY14" s="43">
        <f>H14-CX14</f>
        <v>0</v>
      </c>
      <c r="CZ14" s="43"/>
      <c r="DA14" s="43"/>
      <c r="DB14" s="43"/>
      <c r="DC14" s="43"/>
    </row>
    <row r="15" spans="1:107" x14ac:dyDescent="0.25">
      <c r="A15" s="1">
        <v>8</v>
      </c>
      <c r="B15" s="52">
        <v>6</v>
      </c>
      <c r="C15" s="53" t="s">
        <v>143</v>
      </c>
      <c r="D15" s="54" t="s">
        <v>91</v>
      </c>
      <c r="E15" s="55">
        <v>1</v>
      </c>
      <c r="F15" s="56">
        <v>132000000</v>
      </c>
      <c r="G15" s="56">
        <f t="shared" si="0"/>
        <v>132000000</v>
      </c>
      <c r="H15" s="57">
        <v>0.13835175530136193</v>
      </c>
      <c r="I15" s="49"/>
      <c r="J15" s="49"/>
      <c r="K15" s="49"/>
      <c r="L15" s="49">
        <v>102</v>
      </c>
      <c r="M15" s="49">
        <f>ROUNDUP($L15/4,0)</f>
        <v>26</v>
      </c>
      <c r="N15" s="59"/>
      <c r="O15" s="150">
        <f>$H$15/2</f>
        <v>6.9175877650680964E-2</v>
      </c>
      <c r="P15" s="150">
        <f>$H$15/2</f>
        <v>6.9175877650680964E-2</v>
      </c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149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8"/>
      <c r="CV15" s="58"/>
      <c r="CW15" s="42"/>
      <c r="CX15" s="43">
        <f t="shared" si="1"/>
        <v>0.13835175530136193</v>
      </c>
      <c r="CY15" s="43">
        <f>H15-CX15</f>
        <v>0</v>
      </c>
      <c r="CZ15" s="43"/>
      <c r="DA15" s="43"/>
      <c r="DB15" s="43"/>
      <c r="DC15" s="43"/>
    </row>
    <row r="16" spans="1:107" x14ac:dyDescent="0.25">
      <c r="B16" s="60"/>
      <c r="C16" s="61"/>
      <c r="D16" s="62"/>
      <c r="E16" s="63"/>
      <c r="F16" s="64"/>
      <c r="G16" s="64"/>
      <c r="H16" s="65"/>
      <c r="I16" s="49"/>
      <c r="J16" s="49"/>
      <c r="K16" s="49"/>
      <c r="L16" s="49"/>
      <c r="M16" s="49"/>
      <c r="N16" s="59"/>
      <c r="O16" s="4"/>
      <c r="P16" s="4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151"/>
      <c r="AE16" s="152"/>
      <c r="AF16" s="152"/>
      <c r="AG16" s="152"/>
      <c r="AH16" s="152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151"/>
      <c r="BU16" s="151"/>
      <c r="BV16" s="151"/>
      <c r="BW16" s="151"/>
      <c r="BX16" s="51"/>
      <c r="BY16" s="51"/>
      <c r="BZ16" s="151"/>
      <c r="CA16" s="152"/>
      <c r="CB16" s="152"/>
      <c r="CC16" s="152"/>
      <c r="CD16" s="152"/>
      <c r="CE16" s="51"/>
      <c r="CF16" s="51"/>
      <c r="CG16" s="51"/>
      <c r="CH16" s="149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8"/>
      <c r="CV16" s="58"/>
      <c r="CW16" s="42"/>
      <c r="CX16" s="43"/>
      <c r="CY16" s="43"/>
      <c r="CZ16" s="43"/>
      <c r="DA16" s="43"/>
      <c r="DB16" s="43"/>
      <c r="DC16" s="43"/>
    </row>
    <row r="17" spans="1:107" x14ac:dyDescent="0.25">
      <c r="A17" s="1">
        <v>9</v>
      </c>
      <c r="B17" s="66"/>
      <c r="C17" s="67" t="s">
        <v>127</v>
      </c>
      <c r="D17" s="68"/>
      <c r="E17" s="69"/>
      <c r="F17" s="70"/>
      <c r="G17" s="70"/>
      <c r="H17" s="71"/>
      <c r="I17" s="49"/>
      <c r="J17" s="49"/>
      <c r="K17" s="73"/>
      <c r="L17" s="49"/>
      <c r="M17" s="49">
        <f>ROUNDUP($L17/4,0)</f>
        <v>0</v>
      </c>
      <c r="N17" s="59"/>
      <c r="O17" s="59"/>
      <c r="P17" s="59"/>
      <c r="Q17" s="59"/>
      <c r="R17" s="59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74"/>
      <c r="AE17" s="135"/>
      <c r="AF17" s="136"/>
      <c r="AG17" s="136"/>
      <c r="AH17" s="136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1"/>
      <c r="AZ17" s="51"/>
      <c r="BA17" s="51"/>
      <c r="BB17" s="51"/>
      <c r="BC17" s="51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74"/>
      <c r="BU17" s="74"/>
      <c r="BV17" s="74"/>
      <c r="BW17" s="74"/>
      <c r="BX17" s="58"/>
      <c r="BY17" s="58"/>
      <c r="BZ17" s="137"/>
      <c r="CA17" s="136"/>
      <c r="CB17" s="136"/>
      <c r="CC17" s="136"/>
      <c r="CD17" s="136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42"/>
      <c r="CX17" s="43"/>
      <c r="CY17" s="43">
        <f t="shared" ref="CY17:CY24" si="6">H17-CX17</f>
        <v>0</v>
      </c>
      <c r="CZ17" s="43"/>
      <c r="DA17" s="43"/>
      <c r="DB17" s="43"/>
      <c r="DC17" s="43"/>
    </row>
    <row r="18" spans="1:107" x14ac:dyDescent="0.25">
      <c r="A18" s="1">
        <v>10</v>
      </c>
      <c r="B18" s="52">
        <v>1</v>
      </c>
      <c r="C18" s="53" t="s">
        <v>110</v>
      </c>
      <c r="D18" s="54" t="s">
        <v>97</v>
      </c>
      <c r="E18" s="55">
        <v>4565.71</v>
      </c>
      <c r="F18" s="56">
        <v>3012832.526622273</v>
      </c>
      <c r="G18" s="56">
        <f t="shared" ref="G18:G24" si="7">E18*F18</f>
        <v>13755719595.124578</v>
      </c>
      <c r="H18" s="57">
        <v>14.4276359955972</v>
      </c>
      <c r="I18" s="49">
        <v>3</v>
      </c>
      <c r="J18" s="49">
        <f t="shared" ref="J18:J24" si="8">I18*7</f>
        <v>21</v>
      </c>
      <c r="K18" s="73">
        <f t="shared" ref="K18:K24" si="9">E18/J18</f>
        <v>217.41476190476192</v>
      </c>
      <c r="L18" s="49">
        <f t="shared" ref="L18:L24" si="10">ROUNDUP(K18/6,0)</f>
        <v>37</v>
      </c>
      <c r="M18" s="49">
        <v>7</v>
      </c>
      <c r="N18" s="59"/>
      <c r="O18" s="59"/>
      <c r="P18" s="59"/>
      <c r="Q18" s="59"/>
      <c r="R18" s="59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74"/>
      <c r="AE18" s="135"/>
      <c r="AF18" s="136"/>
      <c r="AG18" s="136"/>
      <c r="AH18" s="136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1"/>
      <c r="AZ18" s="51"/>
      <c r="BA18" s="51"/>
      <c r="BB18" s="51"/>
      <c r="BC18" s="51"/>
      <c r="BD18" s="58"/>
      <c r="BL18" s="145">
        <f t="shared" ref="BL18:BW18" si="11">$H$18/12</f>
        <v>1.2023029996331001</v>
      </c>
      <c r="BM18" s="145">
        <f t="shared" si="11"/>
        <v>1.2023029996331001</v>
      </c>
      <c r="BN18" s="145">
        <f t="shared" si="11"/>
        <v>1.2023029996331001</v>
      </c>
      <c r="BO18" s="145">
        <f t="shared" si="11"/>
        <v>1.2023029996331001</v>
      </c>
      <c r="BP18" s="145">
        <f t="shared" si="11"/>
        <v>1.2023029996331001</v>
      </c>
      <c r="BQ18" s="145">
        <f t="shared" si="11"/>
        <v>1.2023029996331001</v>
      </c>
      <c r="BR18" s="145">
        <f t="shared" si="11"/>
        <v>1.2023029996331001</v>
      </c>
      <c r="BS18" s="145">
        <f t="shared" si="11"/>
        <v>1.2023029996331001</v>
      </c>
      <c r="BT18" s="145">
        <f t="shared" si="11"/>
        <v>1.2023029996331001</v>
      </c>
      <c r="BU18" s="145">
        <f t="shared" si="11"/>
        <v>1.2023029996331001</v>
      </c>
      <c r="BV18" s="145">
        <f t="shared" si="11"/>
        <v>1.2023029996331001</v>
      </c>
      <c r="BW18" s="145">
        <f t="shared" si="11"/>
        <v>1.2023029996331001</v>
      </c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42"/>
      <c r="CX18" s="43">
        <f t="shared" ref="CX18:CX24" si="12">SUM(N18:CV18)</f>
        <v>14.427635995597198</v>
      </c>
      <c r="CY18" s="43">
        <f t="shared" si="6"/>
        <v>0</v>
      </c>
      <c r="CZ18" s="43"/>
      <c r="DA18" s="43"/>
      <c r="DB18" s="43"/>
      <c r="DC18" s="43"/>
    </row>
    <row r="19" spans="1:107" x14ac:dyDescent="0.25">
      <c r="A19" s="1">
        <v>11</v>
      </c>
      <c r="B19" s="52">
        <v>2</v>
      </c>
      <c r="C19" s="53" t="s">
        <v>111</v>
      </c>
      <c r="D19" s="54" t="s">
        <v>97</v>
      </c>
      <c r="E19" s="55">
        <v>5186.13</v>
      </c>
      <c r="F19" s="56">
        <v>4810713.157344725</v>
      </c>
      <c r="G19" s="56">
        <f t="shared" si="7"/>
        <v>24948983826.700199</v>
      </c>
      <c r="H19" s="57">
        <f>26.1495129197671-0.12</f>
        <v>26.0295129197671</v>
      </c>
      <c r="I19" s="49">
        <v>3</v>
      </c>
      <c r="J19" s="49">
        <f t="shared" si="8"/>
        <v>21</v>
      </c>
      <c r="K19" s="73">
        <f t="shared" si="9"/>
        <v>246.95857142857145</v>
      </c>
      <c r="L19" s="49">
        <f t="shared" si="10"/>
        <v>42</v>
      </c>
      <c r="M19" s="49">
        <v>15</v>
      </c>
      <c r="N19" s="59"/>
      <c r="O19" s="59"/>
      <c r="P19" s="59"/>
      <c r="Q19" s="59"/>
      <c r="R19" s="59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74"/>
      <c r="AE19" s="135"/>
      <c r="AF19" s="136"/>
      <c r="AG19" s="136"/>
      <c r="AH19" s="136"/>
      <c r="AI19" s="58"/>
      <c r="AJ19" s="58"/>
      <c r="AK19" s="58"/>
      <c r="AL19" s="58"/>
      <c r="AM19" s="58"/>
      <c r="AN19" s="145">
        <f t="shared" ref="AN19:BD19" si="13">$H$19/17</f>
        <v>1.5311478188098295</v>
      </c>
      <c r="AO19" s="145">
        <f t="shared" si="13"/>
        <v>1.5311478188098295</v>
      </c>
      <c r="AP19" s="145">
        <f t="shared" si="13"/>
        <v>1.5311478188098295</v>
      </c>
      <c r="AQ19" s="145">
        <f t="shared" si="13"/>
        <v>1.5311478188098295</v>
      </c>
      <c r="AR19" s="145">
        <f t="shared" si="13"/>
        <v>1.5311478188098295</v>
      </c>
      <c r="AS19" s="145">
        <f t="shared" si="13"/>
        <v>1.5311478188098295</v>
      </c>
      <c r="AT19" s="145">
        <f t="shared" si="13"/>
        <v>1.5311478188098295</v>
      </c>
      <c r="AU19" s="145">
        <f t="shared" si="13"/>
        <v>1.5311478188098295</v>
      </c>
      <c r="AV19" s="145">
        <f t="shared" si="13"/>
        <v>1.5311478188098295</v>
      </c>
      <c r="AW19" s="145">
        <f t="shared" si="13"/>
        <v>1.5311478188098295</v>
      </c>
      <c r="AX19" s="145">
        <f t="shared" si="13"/>
        <v>1.5311478188098295</v>
      </c>
      <c r="AY19" s="145">
        <f t="shared" si="13"/>
        <v>1.5311478188098295</v>
      </c>
      <c r="AZ19" s="145">
        <f t="shared" si="13"/>
        <v>1.5311478188098295</v>
      </c>
      <c r="BA19" s="145">
        <f t="shared" si="13"/>
        <v>1.5311478188098295</v>
      </c>
      <c r="BB19" s="145">
        <f t="shared" si="13"/>
        <v>1.5311478188098295</v>
      </c>
      <c r="BC19" s="145">
        <f t="shared" si="13"/>
        <v>1.5311478188098295</v>
      </c>
      <c r="BD19" s="145">
        <f t="shared" si="13"/>
        <v>1.5311478188098295</v>
      </c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74"/>
      <c r="BT19" s="58"/>
      <c r="BU19" s="58"/>
      <c r="BV19" s="137"/>
      <c r="BW19" s="136"/>
      <c r="BX19" s="136"/>
      <c r="BY19" s="146"/>
      <c r="BZ19" s="146"/>
      <c r="CA19" s="146"/>
      <c r="CB19" s="146"/>
      <c r="CC19" s="136"/>
      <c r="CD19" s="136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42"/>
      <c r="CX19" s="43">
        <f t="shared" si="12"/>
        <v>26.029512919767093</v>
      </c>
      <c r="CY19" s="43">
        <f t="shared" si="6"/>
        <v>0</v>
      </c>
      <c r="CZ19" s="43"/>
      <c r="DA19" s="43"/>
      <c r="DB19" s="43"/>
      <c r="DC19" s="43"/>
    </row>
    <row r="20" spans="1:107" x14ac:dyDescent="0.25">
      <c r="A20" s="1">
        <v>12</v>
      </c>
      <c r="B20" s="52">
        <v>3</v>
      </c>
      <c r="C20" s="53" t="s">
        <v>144</v>
      </c>
      <c r="D20" s="54" t="s">
        <v>112</v>
      </c>
      <c r="E20" s="55">
        <v>24</v>
      </c>
      <c r="F20" s="56">
        <v>628683665.995</v>
      </c>
      <c r="G20" s="56">
        <f t="shared" si="7"/>
        <v>15088407983.880001</v>
      </c>
      <c r="H20" s="57">
        <f>17.8144524944915-2.68</f>
        <v>15.134452494491502</v>
      </c>
      <c r="I20" s="49">
        <f>1/(10*7)*4</f>
        <v>5.7142857142857141E-2</v>
      </c>
      <c r="J20" s="49">
        <f t="shared" si="8"/>
        <v>0.39999999999999997</v>
      </c>
      <c r="K20" s="73">
        <f t="shared" si="9"/>
        <v>60.000000000000007</v>
      </c>
      <c r="L20" s="49">
        <f t="shared" si="10"/>
        <v>10</v>
      </c>
      <c r="M20" s="49">
        <v>4</v>
      </c>
      <c r="N20" s="59"/>
      <c r="O20" s="59"/>
      <c r="P20" s="59"/>
      <c r="Q20" s="59"/>
      <c r="R20" s="59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74"/>
      <c r="AE20" s="135"/>
      <c r="AF20" s="136"/>
      <c r="AG20" s="136"/>
      <c r="AH20" s="136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1"/>
      <c r="AZ20" s="51"/>
      <c r="BA20" s="145">
        <f t="shared" ref="BA20:BK20" si="14">$H$20/11</f>
        <v>1.3758593176810456</v>
      </c>
      <c r="BB20" s="145">
        <f t="shared" si="14"/>
        <v>1.3758593176810456</v>
      </c>
      <c r="BC20" s="145">
        <f t="shared" si="14"/>
        <v>1.3758593176810456</v>
      </c>
      <c r="BD20" s="145">
        <f t="shared" si="14"/>
        <v>1.3758593176810456</v>
      </c>
      <c r="BE20" s="145">
        <f t="shared" si="14"/>
        <v>1.3758593176810456</v>
      </c>
      <c r="BF20" s="145">
        <f t="shared" si="14"/>
        <v>1.3758593176810456</v>
      </c>
      <c r="BG20" s="145">
        <f t="shared" si="14"/>
        <v>1.3758593176810456</v>
      </c>
      <c r="BH20" s="145">
        <f t="shared" si="14"/>
        <v>1.3758593176810456</v>
      </c>
      <c r="BI20" s="145">
        <f t="shared" si="14"/>
        <v>1.3758593176810456</v>
      </c>
      <c r="BJ20" s="145">
        <f t="shared" si="14"/>
        <v>1.3758593176810456</v>
      </c>
      <c r="BK20" s="145">
        <f t="shared" si="14"/>
        <v>1.3758593176810456</v>
      </c>
      <c r="BL20" s="58"/>
      <c r="BM20" s="58"/>
      <c r="BU20" s="58"/>
      <c r="BV20" s="137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42"/>
      <c r="CX20" s="43">
        <f t="shared" si="12"/>
        <v>15.134452494491505</v>
      </c>
      <c r="CY20" s="43">
        <f t="shared" si="6"/>
        <v>0</v>
      </c>
      <c r="CZ20" s="43"/>
      <c r="DA20" s="43"/>
      <c r="DB20" s="43"/>
      <c r="DC20" s="43"/>
    </row>
    <row r="21" spans="1:107" x14ac:dyDescent="0.25">
      <c r="A21" s="1">
        <v>13</v>
      </c>
      <c r="B21" s="52">
        <v>5</v>
      </c>
      <c r="C21" s="53" t="s">
        <v>145</v>
      </c>
      <c r="D21" s="54" t="s">
        <v>99</v>
      </c>
      <c r="E21" s="55">
        <v>5880</v>
      </c>
      <c r="F21" s="56">
        <v>14012.012299999999</v>
      </c>
      <c r="G21" s="56">
        <f t="shared" si="7"/>
        <v>82390632.323999986</v>
      </c>
      <c r="H21" s="57">
        <v>10.769</v>
      </c>
      <c r="I21" s="49">
        <v>10</v>
      </c>
      <c r="J21" s="49">
        <f t="shared" si="8"/>
        <v>70</v>
      </c>
      <c r="K21" s="73">
        <f t="shared" si="9"/>
        <v>84</v>
      </c>
      <c r="L21" s="49">
        <f t="shared" si="10"/>
        <v>14</v>
      </c>
      <c r="M21" s="49">
        <f>ROUNDUP($L21/4,0)</f>
        <v>4</v>
      </c>
      <c r="N21" s="59"/>
      <c r="O21" s="59"/>
      <c r="P21" s="59"/>
      <c r="Q21" s="59"/>
      <c r="R21" s="59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145">
        <f t="shared" ref="AF21:AM21" si="15">$H$21/8</f>
        <v>1.346125</v>
      </c>
      <c r="AG21" s="145">
        <f t="shared" si="15"/>
        <v>1.346125</v>
      </c>
      <c r="AH21" s="145">
        <f t="shared" si="15"/>
        <v>1.346125</v>
      </c>
      <c r="AI21" s="145">
        <f t="shared" si="15"/>
        <v>1.346125</v>
      </c>
      <c r="AJ21" s="145">
        <f t="shared" si="15"/>
        <v>1.346125</v>
      </c>
      <c r="AK21" s="145">
        <f t="shared" si="15"/>
        <v>1.346125</v>
      </c>
      <c r="AL21" s="145">
        <f t="shared" si="15"/>
        <v>1.346125</v>
      </c>
      <c r="AM21" s="145">
        <f t="shared" si="15"/>
        <v>1.346125</v>
      </c>
      <c r="BH21" s="58"/>
      <c r="BI21" s="58"/>
      <c r="BJ21" s="58"/>
      <c r="BX21" s="58"/>
      <c r="BY21" s="58"/>
      <c r="BZ21" s="137"/>
      <c r="CA21" s="136"/>
      <c r="CB21" s="136"/>
      <c r="CC21" s="136"/>
      <c r="CD21" s="136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42"/>
      <c r="CX21" s="43">
        <f t="shared" si="12"/>
        <v>10.769000000000002</v>
      </c>
      <c r="CY21" s="43">
        <f t="shared" si="6"/>
        <v>0</v>
      </c>
      <c r="CZ21" s="43"/>
      <c r="DA21" s="43"/>
      <c r="DB21" s="43"/>
      <c r="DC21" s="43"/>
    </row>
    <row r="22" spans="1:107" x14ac:dyDescent="0.25">
      <c r="A22" s="1">
        <v>14</v>
      </c>
      <c r="B22" s="52">
        <v>8</v>
      </c>
      <c r="C22" s="53" t="s">
        <v>113</v>
      </c>
      <c r="D22" s="54" t="s">
        <v>97</v>
      </c>
      <c r="E22" s="55">
        <v>1230</v>
      </c>
      <c r="F22" s="56">
        <v>1090929.9529763046</v>
      </c>
      <c r="G22" s="56">
        <f t="shared" si="7"/>
        <v>1341843842.1608546</v>
      </c>
      <c r="H22" s="57">
        <f>1.40641250684301-0.4</f>
        <v>1.0064125068430099</v>
      </c>
      <c r="I22" s="49">
        <v>3</v>
      </c>
      <c r="J22" s="49">
        <f t="shared" si="8"/>
        <v>21</v>
      </c>
      <c r="K22" s="73">
        <f t="shared" si="9"/>
        <v>58.571428571428569</v>
      </c>
      <c r="L22" s="49">
        <f t="shared" si="10"/>
        <v>10</v>
      </c>
      <c r="M22" s="49">
        <f>ROUNDUP($L22/4,0)</f>
        <v>3</v>
      </c>
      <c r="N22" s="59"/>
      <c r="O22" s="59"/>
      <c r="P22" s="59"/>
      <c r="Q22" s="59"/>
      <c r="R22" s="59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74"/>
      <c r="AE22" s="135"/>
      <c r="AF22" s="136"/>
      <c r="AG22" s="136"/>
      <c r="AH22" s="136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1"/>
      <c r="AZ22" s="51"/>
      <c r="BA22" s="51"/>
      <c r="BB22" s="51"/>
      <c r="BC22" s="51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74"/>
      <c r="BU22" s="74"/>
      <c r="BV22" s="74"/>
      <c r="BW22" s="74"/>
      <c r="BX22" s="145">
        <f>$H$22/4</f>
        <v>0.25160312671075247</v>
      </c>
      <c r="BY22" s="145">
        <f>$H$22/4</f>
        <v>0.25160312671075247</v>
      </c>
      <c r="BZ22" s="145">
        <f>$H$22/4</f>
        <v>0.25160312671075247</v>
      </c>
      <c r="CA22" s="145">
        <f>$H$22/4</f>
        <v>0.25160312671075247</v>
      </c>
      <c r="CB22" s="136"/>
      <c r="CC22" s="136"/>
      <c r="CD22" s="136"/>
      <c r="CE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42"/>
      <c r="CX22" s="43">
        <f t="shared" si="12"/>
        <v>1.0064125068430099</v>
      </c>
      <c r="CY22" s="43">
        <f t="shared" si="6"/>
        <v>0</v>
      </c>
      <c r="CZ22" s="43"/>
      <c r="DA22" s="43"/>
      <c r="DB22" s="43"/>
      <c r="DC22" s="43"/>
    </row>
    <row r="23" spans="1:107" x14ac:dyDescent="0.25">
      <c r="A23" s="1">
        <v>15</v>
      </c>
      <c r="B23" s="52">
        <v>9</v>
      </c>
      <c r="C23" s="53" t="s">
        <v>114</v>
      </c>
      <c r="D23" s="54" t="s">
        <v>94</v>
      </c>
      <c r="E23" s="55">
        <v>397.9</v>
      </c>
      <c r="F23" s="56">
        <v>2897973.3914999999</v>
      </c>
      <c r="G23" s="56">
        <f t="shared" si="7"/>
        <v>1153103612.47785</v>
      </c>
      <c r="H23" s="57">
        <f>1.20859021841403-0.5</f>
        <v>0.70859021841403003</v>
      </c>
      <c r="I23" s="49">
        <v>0.8</v>
      </c>
      <c r="J23" s="49">
        <f t="shared" si="8"/>
        <v>5.6000000000000005</v>
      </c>
      <c r="K23" s="73">
        <f t="shared" si="9"/>
        <v>71.053571428571416</v>
      </c>
      <c r="L23" s="49">
        <f t="shared" si="10"/>
        <v>12</v>
      </c>
      <c r="M23" s="49">
        <f>ROUNDUP($L23/4,0)</f>
        <v>3</v>
      </c>
      <c r="N23" s="59"/>
      <c r="O23" s="59"/>
      <c r="P23" s="59"/>
      <c r="Q23" s="59"/>
      <c r="R23" s="59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74"/>
      <c r="AE23" s="135"/>
      <c r="AF23" s="136"/>
      <c r="AG23" s="136"/>
      <c r="AH23" s="136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1"/>
      <c r="AZ23" s="51"/>
      <c r="BA23" s="51"/>
      <c r="BB23" s="51"/>
      <c r="BC23" s="51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74"/>
      <c r="BU23" s="74"/>
      <c r="BV23" s="74"/>
      <c r="BW23" s="74"/>
      <c r="BX23" s="58"/>
      <c r="BY23" s="58"/>
      <c r="BZ23" s="137"/>
      <c r="CA23" s="136"/>
      <c r="CB23" s="136"/>
      <c r="CC23" s="136"/>
      <c r="CD23" s="136"/>
      <c r="CE23" s="58"/>
      <c r="CF23" s="58"/>
      <c r="CG23" s="58"/>
      <c r="CH23" s="58"/>
      <c r="CI23" s="58"/>
      <c r="CJ23" s="58"/>
      <c r="CK23" s="58"/>
      <c r="CL23" s="58"/>
      <c r="CM23" s="145">
        <f>$H$23/2</f>
        <v>0.35429510920701501</v>
      </c>
      <c r="CN23" s="145">
        <f>$H$23/2</f>
        <v>0.35429510920701501</v>
      </c>
      <c r="CO23" s="58"/>
      <c r="CP23" s="58"/>
      <c r="CQ23" s="58"/>
      <c r="CR23" s="58"/>
      <c r="CS23" s="58"/>
      <c r="CT23" s="58"/>
      <c r="CU23" s="58"/>
      <c r="CV23" s="58"/>
      <c r="CW23" s="42"/>
      <c r="CX23" s="43">
        <f t="shared" si="12"/>
        <v>0.70859021841403003</v>
      </c>
      <c r="CY23" s="43">
        <f t="shared" si="6"/>
        <v>0</v>
      </c>
      <c r="CZ23" s="43"/>
      <c r="DA23" s="43"/>
      <c r="DB23" s="43"/>
      <c r="DC23" s="43"/>
    </row>
    <row r="24" spans="1:107" x14ac:dyDescent="0.25">
      <c r="A24" s="1">
        <v>16</v>
      </c>
      <c r="B24" s="52">
        <v>10</v>
      </c>
      <c r="C24" s="53" t="s">
        <v>115</v>
      </c>
      <c r="D24" s="54" t="s">
        <v>94</v>
      </c>
      <c r="E24" s="55">
        <v>983</v>
      </c>
      <c r="F24" s="56">
        <v>902925.826</v>
      </c>
      <c r="G24" s="56">
        <f t="shared" si="7"/>
        <v>887576086.95799994</v>
      </c>
      <c r="H24" s="57">
        <f>0.930285678743587+0.1</f>
        <v>1.030285678743587</v>
      </c>
      <c r="I24" s="49">
        <v>2</v>
      </c>
      <c r="J24" s="49">
        <f t="shared" si="8"/>
        <v>14</v>
      </c>
      <c r="K24" s="73">
        <f t="shared" si="9"/>
        <v>70.214285714285708</v>
      </c>
      <c r="L24" s="49">
        <f t="shared" si="10"/>
        <v>12</v>
      </c>
      <c r="M24" s="49">
        <v>4</v>
      </c>
      <c r="N24" s="59"/>
      <c r="O24" s="59"/>
      <c r="P24" s="59"/>
      <c r="Q24" s="59"/>
      <c r="R24" s="59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74"/>
      <c r="AE24" s="135"/>
      <c r="AF24" s="136"/>
      <c r="AG24" s="136"/>
      <c r="AH24" s="136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1"/>
      <c r="AZ24" s="51"/>
      <c r="BA24" s="51"/>
      <c r="BB24" s="51"/>
      <c r="BC24" s="51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74"/>
      <c r="BU24" s="74"/>
      <c r="BV24" s="74"/>
      <c r="BW24" s="74"/>
      <c r="BX24" s="58"/>
      <c r="BY24" s="58"/>
      <c r="BZ24" s="137"/>
      <c r="CA24" s="136"/>
      <c r="CB24" s="136"/>
      <c r="CC24" s="136"/>
      <c r="CD24" s="136"/>
      <c r="CE24" s="58"/>
      <c r="CF24" s="58"/>
      <c r="CG24" s="58"/>
      <c r="CH24" s="58"/>
      <c r="CI24" s="58"/>
      <c r="CJ24" s="58"/>
      <c r="CK24" s="58"/>
      <c r="CL24" s="58"/>
      <c r="CM24" s="145">
        <f>$H$24/3</f>
        <v>0.34342855958119567</v>
      </c>
      <c r="CN24" s="145">
        <f>$H$24/3</f>
        <v>0.34342855958119567</v>
      </c>
      <c r="CO24" s="145">
        <f>$H$24/3</f>
        <v>0.34342855958119567</v>
      </c>
      <c r="CP24" s="58"/>
      <c r="CQ24" s="58"/>
      <c r="CR24" s="58"/>
      <c r="CS24" s="58"/>
      <c r="CT24" s="58"/>
      <c r="CU24" s="58"/>
      <c r="CV24" s="58"/>
      <c r="CW24" s="42"/>
      <c r="CX24" s="43">
        <f t="shared" si="12"/>
        <v>1.030285678743587</v>
      </c>
      <c r="CY24" s="43">
        <f t="shared" si="6"/>
        <v>0</v>
      </c>
      <c r="CZ24" s="43"/>
      <c r="DA24" s="43"/>
      <c r="DB24" s="43"/>
      <c r="DC24" s="43"/>
    </row>
    <row r="25" spans="1:107" x14ac:dyDescent="0.25">
      <c r="B25" s="60"/>
      <c r="C25" s="61"/>
      <c r="D25" s="62"/>
      <c r="E25" s="63"/>
      <c r="F25" s="64"/>
      <c r="G25" s="64"/>
      <c r="H25" s="65"/>
      <c r="I25" s="49"/>
      <c r="J25" s="49"/>
      <c r="K25" s="49"/>
      <c r="L25" s="49"/>
      <c r="M25" s="49"/>
      <c r="N25" s="59"/>
      <c r="O25" s="4"/>
      <c r="P25" s="4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151"/>
      <c r="AE25" s="152"/>
      <c r="AF25" s="152"/>
      <c r="AG25" s="152"/>
      <c r="AH25" s="152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151"/>
      <c r="BU25" s="151"/>
      <c r="BV25" s="151"/>
      <c r="BW25" s="151"/>
      <c r="BX25" s="51"/>
      <c r="BY25" s="51"/>
      <c r="BZ25" s="151"/>
      <c r="CA25" s="152"/>
      <c r="CB25" s="152"/>
      <c r="CC25" s="152"/>
      <c r="CD25" s="152"/>
      <c r="CE25" s="51"/>
      <c r="CF25" s="51"/>
      <c r="CG25" s="51"/>
      <c r="CH25" s="149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8"/>
      <c r="CV25" s="58"/>
      <c r="CW25" s="42"/>
      <c r="CX25" s="43"/>
      <c r="CY25" s="43"/>
      <c r="CZ25" s="43"/>
      <c r="DA25" s="43"/>
      <c r="DB25" s="43"/>
      <c r="DC25" s="43"/>
    </row>
    <row r="26" spans="1:107" x14ac:dyDescent="0.25">
      <c r="A26" s="1">
        <v>17</v>
      </c>
      <c r="B26" s="66"/>
      <c r="C26" s="67" t="s">
        <v>128</v>
      </c>
      <c r="D26" s="68"/>
      <c r="E26" s="69"/>
      <c r="F26" s="70"/>
      <c r="G26" s="70"/>
      <c r="H26" s="71"/>
      <c r="I26" s="49"/>
      <c r="J26" s="49"/>
      <c r="K26" s="49"/>
      <c r="L26" s="49"/>
      <c r="M26" s="49"/>
      <c r="N26" s="59"/>
      <c r="O26" s="59"/>
      <c r="P26" s="59"/>
      <c r="Q26" s="59"/>
      <c r="R26" s="59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74"/>
      <c r="AE26" s="135"/>
      <c r="AF26" s="136"/>
      <c r="AG26" s="136"/>
      <c r="AH26" s="136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1"/>
      <c r="AZ26" s="51"/>
      <c r="BA26" s="51"/>
      <c r="BB26" s="51"/>
      <c r="BC26" s="51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74"/>
      <c r="BU26" s="74"/>
      <c r="BV26" s="74"/>
      <c r="BW26" s="74"/>
      <c r="BX26" s="58"/>
      <c r="BY26" s="58"/>
      <c r="BZ26" s="137"/>
      <c r="CA26" s="136"/>
      <c r="CB26" s="136"/>
      <c r="CC26" s="136"/>
      <c r="CD26" s="136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42"/>
      <c r="CX26" s="43"/>
      <c r="CY26" s="43">
        <f>H26-CX26</f>
        <v>0</v>
      </c>
      <c r="CZ26" s="43"/>
      <c r="DA26" s="43"/>
      <c r="DB26" s="43"/>
      <c r="DC26" s="43"/>
    </row>
    <row r="27" spans="1:107" x14ac:dyDescent="0.25">
      <c r="A27" s="1">
        <v>18</v>
      </c>
      <c r="B27" s="72">
        <v>1</v>
      </c>
      <c r="C27" s="44" t="s">
        <v>96</v>
      </c>
      <c r="D27" s="45" t="s">
        <v>97</v>
      </c>
      <c r="E27" s="46">
        <v>720</v>
      </c>
      <c r="F27" s="47">
        <v>33660.789597118921</v>
      </c>
      <c r="G27" s="47">
        <f>E27*F27</f>
        <v>24235768.509925622</v>
      </c>
      <c r="H27" s="48">
        <v>1.476</v>
      </c>
      <c r="I27" s="49">
        <v>60</v>
      </c>
      <c r="J27" s="49">
        <f>I27*7</f>
        <v>420</v>
      </c>
      <c r="K27" s="73">
        <f>E27/J27</f>
        <v>1.7142857142857142</v>
      </c>
      <c r="L27" s="49">
        <f>ROUNDUP(K27/6,0)</f>
        <v>1</v>
      </c>
      <c r="M27" s="49">
        <f>ROUNDUP($L27/4,0)</f>
        <v>1</v>
      </c>
      <c r="N27" s="59"/>
      <c r="O27" s="59"/>
      <c r="P27" s="59"/>
      <c r="Q27" s="59"/>
      <c r="R27" s="59"/>
      <c r="S27" s="146"/>
      <c r="T27" s="146"/>
      <c r="U27" s="146"/>
      <c r="V27" s="146"/>
      <c r="W27" s="146"/>
      <c r="X27" s="59"/>
      <c r="Y27" s="59"/>
      <c r="Z27" s="59"/>
      <c r="AA27" s="59"/>
      <c r="AB27" s="59"/>
      <c r="AC27" s="58"/>
      <c r="AD27" s="74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1"/>
      <c r="AZ27" s="51"/>
      <c r="BA27" s="51"/>
      <c r="BB27" s="51"/>
      <c r="BC27" s="51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74"/>
      <c r="BU27" s="74"/>
      <c r="BV27" s="145">
        <f>$H$27/4</f>
        <v>0.36899999999999999</v>
      </c>
      <c r="BW27" s="145">
        <f>$H$27/4</f>
        <v>0.36899999999999999</v>
      </c>
      <c r="BX27" s="145">
        <f>$H$27/4</f>
        <v>0.36899999999999999</v>
      </c>
      <c r="BY27" s="145">
        <f>$H$27/4</f>
        <v>0.36899999999999999</v>
      </c>
      <c r="BZ27" s="137"/>
      <c r="CA27" s="136"/>
      <c r="CB27" s="136"/>
      <c r="CC27" s="136"/>
      <c r="CD27" s="136"/>
      <c r="CE27" s="58"/>
      <c r="CF27" s="58"/>
      <c r="CG27" s="58"/>
      <c r="CH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42"/>
      <c r="CX27" s="43">
        <f>SUM(N27:CV27)</f>
        <v>1.476</v>
      </c>
      <c r="CY27" s="43">
        <f>H27-CX27</f>
        <v>0</v>
      </c>
      <c r="CZ27" s="43"/>
      <c r="DA27" s="43"/>
      <c r="DB27" s="43"/>
      <c r="DC27" s="43"/>
    </row>
    <row r="28" spans="1:107" x14ac:dyDescent="0.25">
      <c r="A28" s="1">
        <v>19</v>
      </c>
      <c r="B28" s="52">
        <v>2</v>
      </c>
      <c r="C28" s="53" t="s">
        <v>146</v>
      </c>
      <c r="D28" s="54" t="s">
        <v>98</v>
      </c>
      <c r="E28" s="55">
        <v>675</v>
      </c>
      <c r="F28" s="56">
        <v>1238499.3105068493</v>
      </c>
      <c r="G28" s="56">
        <f>E28*F28</f>
        <v>835987034.59212327</v>
      </c>
      <c r="H28" s="57">
        <v>2.1080000000000001</v>
      </c>
      <c r="I28" s="49">
        <v>2.2000000000000002</v>
      </c>
      <c r="J28" s="49">
        <f>I28*7</f>
        <v>15.400000000000002</v>
      </c>
      <c r="K28" s="73">
        <f>E28/J28</f>
        <v>43.831168831168824</v>
      </c>
      <c r="L28" s="49">
        <f>ROUNDUP(K28/6,0)</f>
        <v>8</v>
      </c>
      <c r="M28" s="49">
        <f>ROUNDUP($L28/4,0)</f>
        <v>2</v>
      </c>
      <c r="N28" s="59"/>
      <c r="O28" s="59"/>
      <c r="P28" s="59"/>
      <c r="Q28" s="59"/>
      <c r="R28" s="59"/>
      <c r="S28" s="146"/>
      <c r="T28" s="146"/>
      <c r="U28" s="146"/>
      <c r="V28" s="146"/>
      <c r="W28" s="146"/>
      <c r="X28" s="59"/>
      <c r="Y28" s="59"/>
      <c r="Z28" s="59"/>
      <c r="AA28" s="59"/>
      <c r="AB28" s="59"/>
      <c r="AC28" s="58"/>
      <c r="AD28" s="74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1"/>
      <c r="AZ28" s="51"/>
      <c r="BA28" s="51"/>
      <c r="BB28" s="51"/>
      <c r="BC28" s="51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74"/>
      <c r="BU28" s="74"/>
      <c r="BV28" s="74"/>
      <c r="BW28" s="74"/>
      <c r="BX28" s="58"/>
      <c r="BY28" s="145">
        <f>$H$28/4</f>
        <v>0.52700000000000002</v>
      </c>
      <c r="BZ28" s="145">
        <f>$H$28/4</f>
        <v>0.52700000000000002</v>
      </c>
      <c r="CA28" s="145">
        <f>$H$28/4</f>
        <v>0.52700000000000002</v>
      </c>
      <c r="CB28" s="145">
        <f>$H$28/4</f>
        <v>0.52700000000000002</v>
      </c>
      <c r="CC28" s="136"/>
      <c r="CD28" s="136"/>
      <c r="CE28" s="58"/>
      <c r="CF28" s="58"/>
      <c r="CG28" s="58"/>
      <c r="CH28" s="58"/>
      <c r="CI28" s="58"/>
      <c r="CJ28" s="58"/>
      <c r="CK28" s="58"/>
      <c r="CP28" s="58"/>
      <c r="CQ28" s="58"/>
      <c r="CR28" s="58"/>
      <c r="CS28" s="58"/>
      <c r="CT28" s="58"/>
      <c r="CU28" s="58"/>
      <c r="CV28" s="58"/>
      <c r="CW28" s="42"/>
      <c r="CX28" s="43">
        <f>SUM(N28:CV28)</f>
        <v>2.1080000000000001</v>
      </c>
      <c r="CY28" s="43">
        <f>H28-CX28</f>
        <v>0</v>
      </c>
      <c r="CZ28" s="43"/>
      <c r="DA28" s="43"/>
      <c r="DB28" s="43"/>
      <c r="DC28" s="43"/>
    </row>
    <row r="29" spans="1:107" x14ac:dyDescent="0.25">
      <c r="B29" s="60"/>
      <c r="C29" s="61"/>
      <c r="D29" s="62"/>
      <c r="E29" s="63"/>
      <c r="F29" s="64"/>
      <c r="G29" s="64"/>
      <c r="H29" s="65"/>
      <c r="I29" s="49"/>
      <c r="J29" s="49"/>
      <c r="K29" s="49"/>
      <c r="L29" s="49"/>
      <c r="M29" s="49"/>
      <c r="N29" s="59"/>
      <c r="O29" s="4"/>
      <c r="P29" s="4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151"/>
      <c r="AE29" s="152"/>
      <c r="AF29" s="152"/>
      <c r="AG29" s="152"/>
      <c r="AH29" s="152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151"/>
      <c r="BU29" s="151"/>
      <c r="BV29" s="151"/>
      <c r="BW29" s="151"/>
      <c r="BX29" s="51"/>
      <c r="BY29" s="51"/>
      <c r="BZ29" s="151"/>
      <c r="CA29" s="152"/>
      <c r="CB29" s="152"/>
      <c r="CC29" s="152"/>
      <c r="CD29" s="152"/>
      <c r="CE29" s="51"/>
      <c r="CF29" s="51"/>
      <c r="CG29" s="51"/>
      <c r="CH29" s="149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8"/>
      <c r="CV29" s="58"/>
      <c r="CW29" s="42"/>
      <c r="CX29" s="43"/>
      <c r="CY29" s="43"/>
      <c r="CZ29" s="43"/>
      <c r="DA29" s="43"/>
      <c r="DB29" s="43"/>
      <c r="DC29" s="43"/>
    </row>
    <row r="30" spans="1:107" x14ac:dyDescent="0.25">
      <c r="A30" s="1">
        <v>20</v>
      </c>
      <c r="B30" s="66"/>
      <c r="C30" s="67" t="s">
        <v>129</v>
      </c>
      <c r="D30" s="68"/>
      <c r="E30" s="69"/>
      <c r="F30" s="70"/>
      <c r="G30" s="70"/>
      <c r="H30" s="71"/>
      <c r="I30" s="49"/>
      <c r="J30" s="49"/>
      <c r="K30" s="73"/>
      <c r="L30" s="49"/>
      <c r="M30" s="49"/>
      <c r="N30" s="59"/>
      <c r="O30" s="59"/>
      <c r="P30" s="59"/>
      <c r="Q30" s="59"/>
      <c r="R30" s="59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74"/>
      <c r="AE30" s="135"/>
      <c r="AF30" s="136"/>
      <c r="AG30" s="136"/>
      <c r="AH30" s="136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1"/>
      <c r="AZ30" s="51"/>
      <c r="BA30" s="51"/>
      <c r="BB30" s="51"/>
      <c r="BC30" s="51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74"/>
      <c r="BU30" s="74"/>
      <c r="BV30" s="74"/>
      <c r="BW30" s="74"/>
      <c r="BX30" s="58"/>
      <c r="BY30" s="58"/>
      <c r="BZ30" s="137"/>
      <c r="CA30" s="136"/>
      <c r="CB30" s="136"/>
      <c r="CC30" s="136"/>
      <c r="CD30" s="136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42"/>
      <c r="CX30" s="43"/>
      <c r="CY30" s="43">
        <f>H30-CX30</f>
        <v>0</v>
      </c>
      <c r="CZ30" s="43"/>
      <c r="DA30" s="43"/>
      <c r="DB30" s="43"/>
      <c r="DC30" s="43"/>
    </row>
    <row r="31" spans="1:107" x14ac:dyDescent="0.25">
      <c r="A31" s="1">
        <v>21</v>
      </c>
      <c r="B31" s="52">
        <v>1</v>
      </c>
      <c r="C31" s="53" t="s">
        <v>102</v>
      </c>
      <c r="D31" s="54" t="s">
        <v>103</v>
      </c>
      <c r="E31" s="55">
        <v>16000</v>
      </c>
      <c r="F31" s="56">
        <v>15121.303779630582</v>
      </c>
      <c r="G31" s="56">
        <f>E31*F31</f>
        <v>241940860.47408929</v>
      </c>
      <c r="H31" s="57">
        <v>0.25358289943721329</v>
      </c>
      <c r="I31" s="49">
        <v>300</v>
      </c>
      <c r="J31" s="49">
        <f>I31*7</f>
        <v>2100</v>
      </c>
      <c r="K31" s="73">
        <f>E31/J31</f>
        <v>7.6190476190476186</v>
      </c>
      <c r="L31" s="49">
        <f>ROUNDUP(K31/6,0)</f>
        <v>2</v>
      </c>
      <c r="M31" s="49">
        <v>3</v>
      </c>
      <c r="N31" s="59"/>
      <c r="O31" s="58"/>
      <c r="P31" s="58"/>
      <c r="Q31" s="58"/>
      <c r="T31" s="147">
        <f>$H$31/2</f>
        <v>0.12679144971860665</v>
      </c>
      <c r="U31" s="147">
        <f>$H$31/2</f>
        <v>0.12679144971860665</v>
      </c>
      <c r="V31" s="58"/>
      <c r="W31" s="58"/>
      <c r="X31" s="58"/>
      <c r="Y31" s="58"/>
      <c r="Z31" s="58"/>
      <c r="AA31" s="58"/>
      <c r="AB31" s="58"/>
      <c r="AC31" s="58"/>
      <c r="AD31" s="74"/>
      <c r="AE31" s="135"/>
      <c r="AF31" s="136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1"/>
      <c r="AZ31" s="51"/>
      <c r="BA31" s="51"/>
      <c r="BB31" s="51"/>
      <c r="BC31" s="51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74"/>
      <c r="BU31" s="74"/>
      <c r="BV31" s="74"/>
      <c r="BW31" s="74"/>
      <c r="BX31" s="58"/>
      <c r="BY31" s="58"/>
      <c r="BZ31" s="137"/>
      <c r="CA31" s="136"/>
      <c r="CB31" s="136"/>
      <c r="CC31" s="136"/>
      <c r="CD31" s="136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42"/>
      <c r="CX31" s="43">
        <f>SUM(N31:CV31)</f>
        <v>0.25358289943721329</v>
      </c>
      <c r="CY31" s="43">
        <f>H31-CX31</f>
        <v>0</v>
      </c>
      <c r="CZ31" s="43"/>
      <c r="DA31" s="43"/>
      <c r="DB31" s="43"/>
      <c r="DC31" s="43"/>
    </row>
    <row r="32" spans="1:107" x14ac:dyDescent="0.25">
      <c r="A32" s="1">
        <v>22</v>
      </c>
      <c r="B32" s="52">
        <v>2</v>
      </c>
      <c r="C32" s="53" t="s">
        <v>100</v>
      </c>
      <c r="D32" s="54" t="s">
        <v>97</v>
      </c>
      <c r="E32" s="55">
        <v>40000</v>
      </c>
      <c r="F32" s="56">
        <v>29763.687650896645</v>
      </c>
      <c r="G32" s="56">
        <f>E32*F32</f>
        <v>1190547506.0358658</v>
      </c>
      <c r="H32" s="57">
        <v>1.2478358881039457</v>
      </c>
      <c r="I32" s="49">
        <v>60</v>
      </c>
      <c r="J32" s="49">
        <f>I32*7</f>
        <v>420</v>
      </c>
      <c r="K32" s="73">
        <f>E32/J32</f>
        <v>95.238095238095241</v>
      </c>
      <c r="L32" s="49">
        <f>ROUNDUP(K32/6,0)</f>
        <v>16</v>
      </c>
      <c r="M32" s="49">
        <v>3</v>
      </c>
      <c r="N32" s="59"/>
      <c r="O32" s="58"/>
      <c r="P32" s="58"/>
      <c r="Q32" s="58"/>
      <c r="R32" s="58"/>
      <c r="S32" s="58"/>
      <c r="V32" s="145">
        <f>$H$32/5</f>
        <v>0.24956717762078914</v>
      </c>
      <c r="W32" s="145">
        <f>$H$32/5</f>
        <v>0.24956717762078914</v>
      </c>
      <c r="X32" s="145">
        <f>$H$32/5</f>
        <v>0.24956717762078914</v>
      </c>
      <c r="Y32" s="145">
        <f>$H$32/5</f>
        <v>0.24956717762078914</v>
      </c>
      <c r="Z32" s="145">
        <f>$H$32/5</f>
        <v>0.24956717762078914</v>
      </c>
      <c r="AA32" s="58"/>
      <c r="AB32" s="58"/>
      <c r="AC32" s="58"/>
      <c r="AD32" s="58"/>
      <c r="AE32" s="135"/>
      <c r="AF32" s="136"/>
      <c r="AG32" s="136"/>
      <c r="AH32" s="136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1"/>
      <c r="AZ32" s="51"/>
      <c r="BA32" s="51"/>
      <c r="BB32" s="51"/>
      <c r="BC32" s="51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74"/>
      <c r="BU32" s="74"/>
      <c r="BV32" s="74"/>
      <c r="BW32" s="74"/>
      <c r="BX32" s="58"/>
      <c r="BY32" s="58"/>
      <c r="BZ32" s="137"/>
      <c r="CA32" s="136"/>
      <c r="CB32" s="136"/>
      <c r="CC32" s="136"/>
      <c r="CD32" s="136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42"/>
      <c r="CX32" s="43">
        <f>SUM(N32:CV32)</f>
        <v>1.2478358881039457</v>
      </c>
      <c r="CY32" s="43">
        <f>H32-CX32</f>
        <v>0</v>
      </c>
      <c r="CZ32" s="43"/>
      <c r="DA32" s="43"/>
      <c r="DB32" s="43"/>
      <c r="DC32" s="43"/>
    </row>
    <row r="33" spans="1:107" x14ac:dyDescent="0.25">
      <c r="A33" s="1">
        <v>23</v>
      </c>
      <c r="B33" s="52">
        <v>3</v>
      </c>
      <c r="C33" s="53" t="s">
        <v>101</v>
      </c>
      <c r="D33" s="54" t="s">
        <v>97</v>
      </c>
      <c r="E33" s="55">
        <v>67393.87</v>
      </c>
      <c r="F33" s="56">
        <v>45399.923195385076</v>
      </c>
      <c r="G33" s="56">
        <f>E33*F33</f>
        <v>3059676521.839766</v>
      </c>
      <c r="H33" s="57">
        <f>3.20690619280983-1</f>
        <v>2.2069061928098299</v>
      </c>
      <c r="I33" s="49">
        <v>40</v>
      </c>
      <c r="J33" s="49">
        <f>I33*7</f>
        <v>280</v>
      </c>
      <c r="K33" s="73">
        <f>E33/J33</f>
        <v>240.69239285714283</v>
      </c>
      <c r="L33" s="49">
        <f>ROUNDUP(K33/6,0)</f>
        <v>41</v>
      </c>
      <c r="M33" s="49">
        <v>6</v>
      </c>
      <c r="N33" s="59"/>
      <c r="O33" s="59"/>
      <c r="P33" s="59"/>
      <c r="Q33" s="59"/>
      <c r="R33" s="59"/>
      <c r="S33" s="58"/>
      <c r="T33" s="58"/>
      <c r="U33" s="58"/>
      <c r="V33" s="58"/>
      <c r="X33" s="145">
        <f t="shared" ref="X33:AD33" si="16">$H$33/7</f>
        <v>0.31527231325854715</v>
      </c>
      <c r="Y33" s="145">
        <f t="shared" si="16"/>
        <v>0.31527231325854715</v>
      </c>
      <c r="Z33" s="145">
        <f t="shared" si="16"/>
        <v>0.31527231325854715</v>
      </c>
      <c r="AA33" s="145">
        <f t="shared" si="16"/>
        <v>0.31527231325854715</v>
      </c>
      <c r="AB33" s="145">
        <f t="shared" si="16"/>
        <v>0.31527231325854715</v>
      </c>
      <c r="AC33" s="145">
        <f t="shared" si="16"/>
        <v>0.31527231325854715</v>
      </c>
      <c r="AD33" s="145">
        <f t="shared" si="16"/>
        <v>0.31527231325854715</v>
      </c>
      <c r="AG33" s="136"/>
      <c r="AH33" s="136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1"/>
      <c r="AZ33" s="51"/>
      <c r="BA33" s="51"/>
      <c r="BB33" s="51"/>
      <c r="BC33" s="51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74"/>
      <c r="BU33" s="74"/>
      <c r="BV33" s="74"/>
      <c r="BW33" s="74"/>
      <c r="BX33" s="58"/>
      <c r="BY33" s="58"/>
      <c r="BZ33" s="137"/>
      <c r="CA33" s="136"/>
      <c r="CB33" s="136"/>
      <c r="CC33" s="136"/>
      <c r="CD33" s="136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42"/>
      <c r="CX33" s="43">
        <f>SUM(N33:CV33)</f>
        <v>2.2069061928098299</v>
      </c>
      <c r="CY33" s="43">
        <f>H33-CX33</f>
        <v>0</v>
      </c>
      <c r="CZ33" s="43"/>
      <c r="DA33" s="43"/>
      <c r="DB33" s="43"/>
      <c r="DC33" s="43"/>
    </row>
    <row r="34" spans="1:107" x14ac:dyDescent="0.25">
      <c r="B34" s="60"/>
      <c r="C34" s="61"/>
      <c r="D34" s="62"/>
      <c r="E34" s="63"/>
      <c r="F34" s="64"/>
      <c r="G34" s="64"/>
      <c r="H34" s="65"/>
      <c r="I34" s="49"/>
      <c r="J34" s="49"/>
      <c r="K34" s="49"/>
      <c r="L34" s="49"/>
      <c r="M34" s="49"/>
      <c r="N34" s="59"/>
      <c r="O34" s="4"/>
      <c r="P34" s="4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151"/>
      <c r="AE34" s="152"/>
      <c r="AF34" s="152"/>
      <c r="AG34" s="152"/>
      <c r="AH34" s="152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151"/>
      <c r="BU34" s="151"/>
      <c r="BV34" s="151"/>
      <c r="BW34" s="151"/>
      <c r="BX34" s="51"/>
      <c r="BY34" s="51"/>
      <c r="BZ34" s="151"/>
      <c r="CA34" s="152"/>
      <c r="CB34" s="152"/>
      <c r="CC34" s="152"/>
      <c r="CD34" s="152"/>
      <c r="CE34" s="51"/>
      <c r="CF34" s="51"/>
      <c r="CG34" s="51"/>
      <c r="CH34" s="149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8"/>
      <c r="CV34" s="58"/>
      <c r="CW34" s="42"/>
      <c r="CX34" s="43"/>
      <c r="CY34" s="43"/>
      <c r="CZ34" s="43"/>
      <c r="DA34" s="43"/>
      <c r="DB34" s="43"/>
      <c r="DC34" s="43"/>
    </row>
    <row r="35" spans="1:107" x14ac:dyDescent="0.25">
      <c r="A35" s="1">
        <v>24</v>
      </c>
      <c r="B35" s="66"/>
      <c r="C35" s="67" t="s">
        <v>130</v>
      </c>
      <c r="D35" s="68"/>
      <c r="E35" s="69"/>
      <c r="F35" s="70"/>
      <c r="G35" s="70"/>
      <c r="H35" s="71"/>
      <c r="I35" s="49"/>
      <c r="J35" s="49"/>
      <c r="K35" s="73"/>
      <c r="L35" s="49"/>
      <c r="M35" s="49"/>
      <c r="N35" s="59"/>
      <c r="O35" s="59"/>
      <c r="P35" s="59"/>
      <c r="Q35" s="59"/>
      <c r="R35" s="59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74"/>
      <c r="AE35" s="135"/>
      <c r="AF35" s="136"/>
      <c r="AG35" s="136"/>
      <c r="AH35" s="136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1"/>
      <c r="AZ35" s="51"/>
      <c r="BA35" s="51"/>
      <c r="BB35" s="51"/>
      <c r="BC35" s="51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74"/>
      <c r="BU35" s="74"/>
      <c r="BV35" s="74"/>
      <c r="BW35" s="74"/>
      <c r="BX35" s="58"/>
      <c r="BY35" s="58"/>
      <c r="BZ35" s="137"/>
      <c r="CA35" s="136"/>
      <c r="CB35" s="136"/>
      <c r="CC35" s="136"/>
      <c r="CD35" s="136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42"/>
      <c r="CX35" s="43"/>
      <c r="CY35" s="43">
        <f>H35-CX35</f>
        <v>0</v>
      </c>
      <c r="CZ35" s="43"/>
      <c r="DA35" s="43"/>
      <c r="DB35" s="43"/>
      <c r="DC35" s="43"/>
    </row>
    <row r="36" spans="1:107" x14ac:dyDescent="0.25">
      <c r="A36" s="1">
        <v>25</v>
      </c>
      <c r="B36" s="52">
        <v>1</v>
      </c>
      <c r="C36" s="53" t="s">
        <v>104</v>
      </c>
      <c r="D36" s="54" t="s">
        <v>97</v>
      </c>
      <c r="E36" s="55">
        <v>5250</v>
      </c>
      <c r="F36" s="56">
        <v>669133.30075912317</v>
      </c>
      <c r="G36" s="56">
        <f>E36*F36</f>
        <v>3512949828.9853969</v>
      </c>
      <c r="H36" s="57">
        <f>12.618-2</f>
        <v>10.618</v>
      </c>
      <c r="I36" s="49">
        <v>10</v>
      </c>
      <c r="J36" s="49">
        <f>I36*7</f>
        <v>70</v>
      </c>
      <c r="K36" s="73">
        <f>E36/J36</f>
        <v>75</v>
      </c>
      <c r="L36" s="49">
        <f>ROUNDUP(K36/6,0)</f>
        <v>13</v>
      </c>
      <c r="M36" s="49">
        <f>ROUNDUP($L36/4,0)</f>
        <v>4</v>
      </c>
      <c r="N36" s="59"/>
      <c r="O36" s="59"/>
      <c r="P36" s="59"/>
      <c r="Q36" s="59"/>
      <c r="R36" s="59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74"/>
      <c r="AE36" s="135"/>
      <c r="AF36" s="136"/>
      <c r="AG36" s="136"/>
      <c r="AH36" s="136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1"/>
      <c r="AZ36" s="51"/>
      <c r="BA36" s="51"/>
      <c r="BB36" s="51"/>
      <c r="BC36" s="51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74"/>
      <c r="BU36" s="74"/>
      <c r="BV36" s="74"/>
      <c r="BW36" s="58"/>
      <c r="BX36" s="58"/>
      <c r="BY36" s="58"/>
      <c r="BZ36" s="74"/>
      <c r="CA36" s="135"/>
      <c r="CB36" s="136"/>
      <c r="CD36" s="147">
        <f t="shared" ref="CD36:CI36" si="17">$H$36/6</f>
        <v>1.7696666666666667</v>
      </c>
      <c r="CE36" s="147">
        <f t="shared" si="17"/>
        <v>1.7696666666666667</v>
      </c>
      <c r="CF36" s="147">
        <f t="shared" si="17"/>
        <v>1.7696666666666667</v>
      </c>
      <c r="CG36" s="147">
        <f t="shared" si="17"/>
        <v>1.7696666666666667</v>
      </c>
      <c r="CH36" s="147">
        <f t="shared" si="17"/>
        <v>1.7696666666666667</v>
      </c>
      <c r="CI36" s="147">
        <f t="shared" si="17"/>
        <v>1.7696666666666667</v>
      </c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42"/>
      <c r="CX36" s="43">
        <f>SUM(N36:CV36)</f>
        <v>10.617999999999999</v>
      </c>
      <c r="CY36" s="43">
        <f>H36-CX36</f>
        <v>0</v>
      </c>
      <c r="CZ36" s="43"/>
      <c r="DA36" s="43"/>
      <c r="DB36" s="43"/>
      <c r="DC36" s="43"/>
    </row>
    <row r="37" spans="1:107" x14ac:dyDescent="0.25">
      <c r="A37" s="1">
        <v>26</v>
      </c>
      <c r="B37" s="52">
        <v>2</v>
      </c>
      <c r="C37" s="53" t="s">
        <v>131</v>
      </c>
      <c r="D37" s="54" t="s">
        <v>97</v>
      </c>
      <c r="E37" s="55">
        <v>5250</v>
      </c>
      <c r="F37" s="56">
        <v>2656530.5096218972</v>
      </c>
      <c r="G37" s="56">
        <f>E37*F37</f>
        <v>13946785175.514961</v>
      </c>
      <c r="H37" s="57">
        <v>3.6819907206496132</v>
      </c>
      <c r="I37" s="49">
        <v>12</v>
      </c>
      <c r="J37" s="49">
        <f>I37*7</f>
        <v>84</v>
      </c>
      <c r="K37" s="73">
        <f>E37/J37</f>
        <v>62.5</v>
      </c>
      <c r="L37" s="49">
        <f>ROUNDUP(K37/6,0)</f>
        <v>11</v>
      </c>
      <c r="M37" s="49">
        <v>4</v>
      </c>
      <c r="N37" s="59"/>
      <c r="O37" s="59"/>
      <c r="P37" s="59"/>
      <c r="Q37" s="59"/>
      <c r="R37" s="59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74"/>
      <c r="AE37" s="135"/>
      <c r="AF37" s="136"/>
      <c r="AG37" s="136"/>
      <c r="AH37" s="136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1"/>
      <c r="AZ37" s="51"/>
      <c r="BA37" s="51"/>
      <c r="BB37" s="51"/>
      <c r="BC37" s="51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74"/>
      <c r="BU37" s="74"/>
      <c r="BV37" s="74"/>
      <c r="BW37" s="74"/>
      <c r="BX37" s="58"/>
      <c r="BY37" s="58"/>
      <c r="BZ37" s="137"/>
      <c r="CA37" s="147">
        <f>$H$37/4</f>
        <v>0.9204976801624033</v>
      </c>
      <c r="CB37" s="147">
        <f>$H$37/4</f>
        <v>0.9204976801624033</v>
      </c>
      <c r="CC37" s="147">
        <f>$H$37/4</f>
        <v>0.9204976801624033</v>
      </c>
      <c r="CD37" s="147">
        <f>$H$37/4</f>
        <v>0.9204976801624033</v>
      </c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42"/>
      <c r="CX37" s="43">
        <f>SUM(N37:CV37)</f>
        <v>3.6819907206496132</v>
      </c>
      <c r="CY37" s="43">
        <f>H37-CX37</f>
        <v>0</v>
      </c>
      <c r="CZ37" s="43"/>
      <c r="DA37" s="43"/>
      <c r="DB37" s="43"/>
      <c r="DC37" s="43"/>
    </row>
    <row r="38" spans="1:107" x14ac:dyDescent="0.25">
      <c r="A38" s="1">
        <v>27</v>
      </c>
      <c r="B38" s="52">
        <v>3</v>
      </c>
      <c r="C38" s="53" t="s">
        <v>132</v>
      </c>
      <c r="D38" s="54" t="s">
        <v>97</v>
      </c>
      <c r="E38" s="55">
        <v>1675.4</v>
      </c>
      <c r="F38" s="56">
        <v>1664473.1305386745</v>
      </c>
      <c r="G38" s="56">
        <f>E38*F38</f>
        <v>2788658282.9044952</v>
      </c>
      <c r="H38" s="57">
        <v>2.9228467301175676</v>
      </c>
      <c r="I38" s="49">
        <v>9</v>
      </c>
      <c r="J38" s="49">
        <f>I38*7</f>
        <v>63</v>
      </c>
      <c r="K38" s="73">
        <f>E38/J38</f>
        <v>26.593650793650795</v>
      </c>
      <c r="L38" s="49">
        <f>ROUNDUP(K38/6,0)</f>
        <v>5</v>
      </c>
      <c r="M38" s="49">
        <v>4</v>
      </c>
      <c r="N38" s="59"/>
      <c r="O38" s="59"/>
      <c r="P38" s="59"/>
      <c r="Q38" s="59"/>
      <c r="R38" s="59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74"/>
      <c r="AE38" s="135"/>
      <c r="AF38" s="136"/>
      <c r="AG38" s="136"/>
      <c r="AH38" s="136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1"/>
      <c r="AZ38" s="51"/>
      <c r="BA38" s="51"/>
      <c r="BB38" s="51"/>
      <c r="BC38" s="51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74"/>
      <c r="BU38" s="74"/>
      <c r="BV38" s="74"/>
      <c r="BW38" s="74"/>
      <c r="BY38" s="145">
        <f>$H$38/4</f>
        <v>0.73071168252939189</v>
      </c>
      <c r="BZ38" s="145">
        <f>$H$38/4</f>
        <v>0.73071168252939189</v>
      </c>
      <c r="CA38" s="145">
        <f>$H$38/4</f>
        <v>0.73071168252939189</v>
      </c>
      <c r="CB38" s="145">
        <f>$H$38/4</f>
        <v>0.73071168252939189</v>
      </c>
      <c r="CC38" s="136"/>
      <c r="CD38" s="136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42"/>
      <c r="CX38" s="43">
        <f>SUM(N38:CV38)</f>
        <v>2.9228467301175676</v>
      </c>
      <c r="CY38" s="43">
        <f>H38-CX38</f>
        <v>0</v>
      </c>
      <c r="CZ38" s="43"/>
      <c r="DA38" s="43"/>
      <c r="DB38" s="43"/>
      <c r="DC38" s="43"/>
    </row>
    <row r="39" spans="1:107" x14ac:dyDescent="0.25">
      <c r="B39" s="60"/>
      <c r="C39" s="61"/>
      <c r="D39" s="62"/>
      <c r="E39" s="63"/>
      <c r="F39" s="64"/>
      <c r="G39" s="64"/>
      <c r="H39" s="65"/>
      <c r="I39" s="49"/>
      <c r="J39" s="49"/>
      <c r="K39" s="49"/>
      <c r="L39" s="49"/>
      <c r="M39" s="49"/>
      <c r="N39" s="59"/>
      <c r="O39" s="4"/>
      <c r="P39" s="4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151"/>
      <c r="AE39" s="152"/>
      <c r="AF39" s="152"/>
      <c r="AG39" s="152"/>
      <c r="AH39" s="152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151"/>
      <c r="BU39" s="151"/>
      <c r="BV39" s="151"/>
      <c r="BW39" s="151"/>
      <c r="BX39" s="51"/>
      <c r="BY39" s="51"/>
      <c r="BZ39" s="151"/>
      <c r="CA39" s="152"/>
      <c r="CB39" s="152"/>
      <c r="CC39" s="152"/>
      <c r="CD39" s="152"/>
      <c r="CE39" s="51"/>
      <c r="CF39" s="51"/>
      <c r="CG39" s="51"/>
      <c r="CH39" s="149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8"/>
      <c r="CV39" s="58"/>
      <c r="CW39" s="42"/>
      <c r="CX39" s="43"/>
      <c r="CY39" s="43"/>
      <c r="CZ39" s="43"/>
      <c r="DA39" s="43"/>
      <c r="DB39" s="43"/>
      <c r="DC39" s="43"/>
    </row>
    <row r="40" spans="1:107" x14ac:dyDescent="0.25">
      <c r="A40" s="1">
        <v>28</v>
      </c>
      <c r="B40" s="66"/>
      <c r="C40" s="67" t="s">
        <v>133</v>
      </c>
      <c r="D40" s="68"/>
      <c r="E40" s="69"/>
      <c r="F40" s="70"/>
      <c r="G40" s="70"/>
      <c r="H40" s="71"/>
      <c r="I40" s="49"/>
      <c r="J40" s="49"/>
      <c r="K40" s="73"/>
      <c r="L40" s="49"/>
      <c r="M40" s="49"/>
      <c r="N40" s="59"/>
      <c r="O40" s="59"/>
      <c r="P40" s="59"/>
      <c r="Q40" s="59"/>
      <c r="R40" s="59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74"/>
      <c r="AE40" s="135"/>
      <c r="AF40" s="136"/>
      <c r="AG40" s="136"/>
      <c r="AH40" s="136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1"/>
      <c r="AZ40" s="51"/>
      <c r="BA40" s="51"/>
      <c r="BB40" s="51"/>
      <c r="BC40" s="51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74"/>
      <c r="BU40" s="74"/>
      <c r="BV40" s="74"/>
      <c r="BW40" s="74"/>
      <c r="BX40" s="58"/>
      <c r="BY40" s="58"/>
      <c r="BZ40" s="137"/>
      <c r="CA40" s="136"/>
      <c r="CB40" s="136"/>
      <c r="CC40" s="136"/>
      <c r="CD40" s="136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42"/>
      <c r="CX40" s="43"/>
      <c r="CY40" s="43">
        <f>H40-CX40</f>
        <v>0</v>
      </c>
      <c r="CZ40" s="43"/>
      <c r="DA40" s="43"/>
      <c r="DB40" s="43"/>
      <c r="DC40" s="43"/>
    </row>
    <row r="41" spans="1:107" x14ac:dyDescent="0.25">
      <c r="A41" s="1">
        <v>29</v>
      </c>
      <c r="B41" s="52">
        <v>1</v>
      </c>
      <c r="C41" s="53" t="s">
        <v>105</v>
      </c>
      <c r="D41" s="54" t="s">
        <v>106</v>
      </c>
      <c r="E41" s="55">
        <v>675.68</v>
      </c>
      <c r="F41" s="56">
        <v>18247.447688102624</v>
      </c>
      <c r="G41" s="56">
        <f>E41*F41</f>
        <v>12329435.45389718</v>
      </c>
      <c r="H41" s="57">
        <v>1.2922719976678175E-2</v>
      </c>
      <c r="I41" s="49">
        <v>25</v>
      </c>
      <c r="J41" s="49">
        <f t="shared" ref="J41:J43" si="18">I41*7</f>
        <v>175</v>
      </c>
      <c r="K41" s="73">
        <f>E41/J41</f>
        <v>3.8610285714285713</v>
      </c>
      <c r="L41" s="49">
        <f t="shared" ref="L41:L43" si="19">ROUNDUP(K41/6,0)</f>
        <v>1</v>
      </c>
      <c r="M41" s="49">
        <f>ROUNDUP($L41/4,0)</f>
        <v>1</v>
      </c>
      <c r="N41" s="59"/>
      <c r="O41" s="59"/>
      <c r="P41" s="59"/>
      <c r="Q41" s="59"/>
      <c r="R41" s="59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74"/>
      <c r="AE41" s="135"/>
      <c r="AF41" s="136"/>
      <c r="AG41" s="136"/>
      <c r="AH41" s="136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1"/>
      <c r="AZ41" s="51"/>
      <c r="BA41" s="51"/>
      <c r="BB41" s="51"/>
      <c r="BC41" s="51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74"/>
      <c r="BU41" s="74"/>
      <c r="BV41" s="74"/>
      <c r="BW41" s="74"/>
      <c r="BX41" s="58"/>
      <c r="BY41" s="58"/>
      <c r="BZ41" s="137"/>
      <c r="CA41" s="136"/>
      <c r="CB41" s="136"/>
      <c r="CC41" s="136"/>
      <c r="CD41" s="136"/>
      <c r="CE41" s="58"/>
      <c r="CF41" s="58"/>
      <c r="CG41" s="58"/>
      <c r="CH41" s="58"/>
      <c r="CI41" s="58"/>
      <c r="CJ41" s="145">
        <f>$H$41/4</f>
        <v>3.2306799941695438E-3</v>
      </c>
      <c r="CK41" s="145">
        <f>$H$41/4</f>
        <v>3.2306799941695438E-3</v>
      </c>
      <c r="CL41" s="145">
        <f>$H$41/4</f>
        <v>3.2306799941695438E-3</v>
      </c>
      <c r="CM41" s="145">
        <f>$H$41/4</f>
        <v>3.2306799941695438E-3</v>
      </c>
      <c r="CN41" s="58"/>
      <c r="CO41" s="58"/>
      <c r="CP41" s="58"/>
      <c r="CQ41" s="58"/>
      <c r="CR41" s="58"/>
      <c r="CS41" s="58"/>
      <c r="CT41" s="58"/>
      <c r="CU41" s="58"/>
      <c r="CV41" s="58"/>
      <c r="CW41" s="42"/>
      <c r="CX41" s="43">
        <f>SUM(N41:CV41)</f>
        <v>1.2922719976678175E-2</v>
      </c>
      <c r="CY41" s="43">
        <f>H41-CX41</f>
        <v>0</v>
      </c>
      <c r="CZ41" s="43"/>
      <c r="DA41" s="43"/>
      <c r="DB41" s="43"/>
      <c r="DC41" s="43"/>
    </row>
    <row r="42" spans="1:107" x14ac:dyDescent="0.25">
      <c r="A42" s="1">
        <v>30</v>
      </c>
      <c r="B42" s="52">
        <v>2</v>
      </c>
      <c r="C42" s="53" t="s">
        <v>107</v>
      </c>
      <c r="D42" s="54" t="s">
        <v>108</v>
      </c>
      <c r="E42" s="55">
        <v>522.53</v>
      </c>
      <c r="F42" s="56">
        <v>1624785.5925580366</v>
      </c>
      <c r="G42" s="56">
        <f>E42*F42</f>
        <v>848999215.67935085</v>
      </c>
      <c r="H42" s="57">
        <v>0.88985251317210434</v>
      </c>
      <c r="I42" s="49">
        <v>36</v>
      </c>
      <c r="J42" s="49">
        <f t="shared" si="18"/>
        <v>252</v>
      </c>
      <c r="K42" s="73">
        <f>E42/J42</f>
        <v>2.0735317460317457</v>
      </c>
      <c r="L42" s="49">
        <f t="shared" si="19"/>
        <v>1</v>
      </c>
      <c r="M42" s="49">
        <f>ROUNDUP($L42/4,0)</f>
        <v>1</v>
      </c>
      <c r="N42" s="59"/>
      <c r="O42" s="59"/>
      <c r="P42" s="59"/>
      <c r="Q42" s="59"/>
      <c r="R42" s="59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74"/>
      <c r="AE42" s="135"/>
      <c r="AF42" s="136"/>
      <c r="AG42" s="136"/>
      <c r="AH42" s="136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1"/>
      <c r="AZ42" s="51"/>
      <c r="BA42" s="51"/>
      <c r="BB42" s="51"/>
      <c r="BC42" s="51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74"/>
      <c r="BU42" s="74"/>
      <c r="BV42" s="74"/>
      <c r="BW42" s="74"/>
      <c r="BX42" s="58"/>
      <c r="BY42" s="58"/>
      <c r="BZ42" s="137"/>
      <c r="CA42" s="136"/>
      <c r="CB42" s="136"/>
      <c r="CC42" s="136"/>
      <c r="CD42" s="136"/>
      <c r="CE42" s="58"/>
      <c r="CF42" s="58"/>
      <c r="CG42" s="58"/>
      <c r="CH42" s="58"/>
      <c r="CK42" s="145">
        <f>$H$42/4</f>
        <v>0.22246312829302609</v>
      </c>
      <c r="CL42" s="145">
        <f>$H$42/4</f>
        <v>0.22246312829302609</v>
      </c>
      <c r="CM42" s="145">
        <f>$H$42/4</f>
        <v>0.22246312829302609</v>
      </c>
      <c r="CN42" s="145">
        <f>$H$42/4</f>
        <v>0.22246312829302609</v>
      </c>
      <c r="CO42" s="58"/>
      <c r="CP42" s="58"/>
      <c r="CQ42" s="58"/>
      <c r="CR42" s="58"/>
      <c r="CS42" s="58"/>
      <c r="CT42" s="58"/>
      <c r="CU42" s="58"/>
      <c r="CV42" s="58"/>
      <c r="CW42" s="42"/>
      <c r="CX42" s="43">
        <f>SUM(N42:CV42)</f>
        <v>0.88985251317210434</v>
      </c>
      <c r="CY42" s="43">
        <f>H42-CX42</f>
        <v>0</v>
      </c>
      <c r="CZ42" s="43"/>
      <c r="DA42" s="43"/>
      <c r="DB42" s="43"/>
      <c r="DC42" s="43"/>
    </row>
    <row r="43" spans="1:107" x14ac:dyDescent="0.25">
      <c r="A43" s="1">
        <v>31</v>
      </c>
      <c r="B43" s="52">
        <v>3</v>
      </c>
      <c r="C43" s="53" t="s">
        <v>109</v>
      </c>
      <c r="D43" s="54" t="s">
        <v>99</v>
      </c>
      <c r="E43" s="55">
        <v>94.06</v>
      </c>
      <c r="F43" s="56">
        <v>114904</v>
      </c>
      <c r="G43" s="56">
        <f>E43*F43</f>
        <v>10807870.24</v>
      </c>
      <c r="H43" s="57">
        <v>1.1327938021010243E-2</v>
      </c>
      <c r="I43" s="49">
        <v>20</v>
      </c>
      <c r="J43" s="49">
        <f t="shared" si="18"/>
        <v>140</v>
      </c>
      <c r="K43" s="73">
        <f>E43/J43</f>
        <v>0.67185714285714282</v>
      </c>
      <c r="L43" s="49">
        <f t="shared" si="19"/>
        <v>1</v>
      </c>
      <c r="M43" s="49">
        <f>ROUNDUP($L43/4,0)</f>
        <v>1</v>
      </c>
      <c r="N43" s="59"/>
      <c r="O43" s="59"/>
      <c r="P43" s="59"/>
      <c r="Q43" s="59"/>
      <c r="R43" s="59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74"/>
      <c r="AE43" s="135"/>
      <c r="AF43" s="136"/>
      <c r="AG43" s="136"/>
      <c r="AH43" s="136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1"/>
      <c r="AZ43" s="51"/>
      <c r="BA43" s="51"/>
      <c r="BB43" s="51"/>
      <c r="BC43" s="51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74"/>
      <c r="BU43" s="74"/>
      <c r="BV43" s="74"/>
      <c r="BW43" s="74"/>
      <c r="BX43" s="58"/>
      <c r="BY43" s="58"/>
      <c r="BZ43" s="137"/>
      <c r="CA43" s="136"/>
      <c r="CB43" s="136"/>
      <c r="CC43" s="136"/>
      <c r="CD43" s="136"/>
      <c r="CE43" s="58"/>
      <c r="CF43" s="58"/>
      <c r="CM43" s="145">
        <f>$H$43/4</f>
        <v>2.8319845052525608E-3</v>
      </c>
      <c r="CN43" s="145">
        <f>$H$43/4</f>
        <v>2.8319845052525608E-3</v>
      </c>
      <c r="CO43" s="145">
        <f>$H$43/4</f>
        <v>2.8319845052525608E-3</v>
      </c>
      <c r="CP43" s="145">
        <f>$H$43/4</f>
        <v>2.8319845052525608E-3</v>
      </c>
      <c r="CQ43" s="58"/>
      <c r="CR43" s="58"/>
      <c r="CS43" s="58"/>
      <c r="CT43" s="58"/>
      <c r="CU43" s="58"/>
      <c r="CV43" s="58"/>
      <c r="CW43" s="42"/>
      <c r="CX43" s="43">
        <f>SUM(N43:CV43)</f>
        <v>1.1327938021010243E-2</v>
      </c>
      <c r="CY43" s="43">
        <f>H43-CX43</f>
        <v>0</v>
      </c>
      <c r="CZ43" s="43"/>
      <c r="DA43" s="43"/>
      <c r="DB43" s="43"/>
      <c r="DC43" s="43"/>
    </row>
    <row r="44" spans="1:107" x14ac:dyDescent="0.25">
      <c r="B44" s="60"/>
      <c r="C44" s="61"/>
      <c r="D44" s="62"/>
      <c r="E44" s="63"/>
      <c r="F44" s="64"/>
      <c r="G44" s="64"/>
      <c r="H44" s="65"/>
      <c r="I44" s="49"/>
      <c r="J44" s="49"/>
      <c r="K44" s="49"/>
      <c r="L44" s="49"/>
      <c r="M44" s="49"/>
      <c r="N44" s="59"/>
      <c r="O44" s="4"/>
      <c r="P44" s="4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151"/>
      <c r="AE44" s="152"/>
      <c r="AF44" s="152"/>
      <c r="AG44" s="152"/>
      <c r="AH44" s="152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151"/>
      <c r="BU44" s="151"/>
      <c r="BV44" s="151"/>
      <c r="BW44" s="151"/>
      <c r="BX44" s="51"/>
      <c r="BY44" s="51"/>
      <c r="BZ44" s="151"/>
      <c r="CA44" s="152"/>
      <c r="CB44" s="152"/>
      <c r="CC44" s="152"/>
      <c r="CD44" s="152"/>
      <c r="CE44" s="51"/>
      <c r="CF44" s="51"/>
      <c r="CG44" s="51"/>
      <c r="CH44" s="149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8"/>
      <c r="CV44" s="58"/>
      <c r="CW44" s="42"/>
      <c r="CX44" s="43"/>
      <c r="CY44" s="43"/>
      <c r="CZ44" s="43"/>
      <c r="DA44" s="43"/>
      <c r="DB44" s="43"/>
      <c r="DC44" s="43"/>
    </row>
    <row r="45" spans="1:107" x14ac:dyDescent="0.25">
      <c r="A45" s="1">
        <v>32</v>
      </c>
      <c r="B45" s="66"/>
      <c r="C45" s="67" t="s">
        <v>134</v>
      </c>
      <c r="D45" s="68"/>
      <c r="E45" s="69"/>
      <c r="F45" s="70"/>
      <c r="G45" s="70"/>
      <c r="H45" s="71"/>
      <c r="I45" s="49"/>
      <c r="J45" s="49"/>
      <c r="K45" s="73"/>
      <c r="L45" s="49"/>
      <c r="M45" s="49"/>
      <c r="N45" s="59"/>
      <c r="O45" s="59"/>
      <c r="P45" s="59"/>
      <c r="Q45" s="59"/>
      <c r="R45" s="59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74"/>
      <c r="AE45" s="135"/>
      <c r="AF45" s="136"/>
      <c r="AG45" s="136"/>
      <c r="AH45" s="136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1"/>
      <c r="AZ45" s="51"/>
      <c r="BA45" s="51"/>
      <c r="BB45" s="51"/>
      <c r="BC45" s="51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74"/>
      <c r="BU45" s="74"/>
      <c r="BV45" s="74"/>
      <c r="BW45" s="74"/>
      <c r="BX45" s="58"/>
      <c r="BY45" s="58"/>
      <c r="BZ45" s="137"/>
      <c r="CA45" s="136"/>
      <c r="CB45" s="136"/>
      <c r="CC45" s="136"/>
      <c r="CD45" s="136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42"/>
      <c r="CX45" s="43"/>
      <c r="CY45" s="43">
        <f t="shared" ref="CY45:CY51" si="20">H45-CX45</f>
        <v>0</v>
      </c>
      <c r="CZ45" s="43"/>
      <c r="DA45" s="43"/>
      <c r="DB45" s="43"/>
      <c r="DC45" s="43"/>
    </row>
    <row r="46" spans="1:107" x14ac:dyDescent="0.25">
      <c r="A46" s="1">
        <v>33</v>
      </c>
      <c r="B46" s="52">
        <v>1</v>
      </c>
      <c r="C46" s="53" t="s">
        <v>116</v>
      </c>
      <c r="D46" s="54" t="s">
        <v>103</v>
      </c>
      <c r="E46" s="55">
        <v>299.66000000000003</v>
      </c>
      <c r="F46" s="56">
        <v>209039.15687822187</v>
      </c>
      <c r="G46" s="56">
        <f t="shared" ref="G46:G51" si="21">E46*F46</f>
        <v>62640673.750127971</v>
      </c>
      <c r="H46" s="57">
        <f>0.0656549027771981+0.1</f>
        <v>0.1656549027771981</v>
      </c>
      <c r="I46" s="49">
        <v>5</v>
      </c>
      <c r="J46" s="49">
        <f t="shared" ref="J46:J51" si="22">I46*7</f>
        <v>35</v>
      </c>
      <c r="K46" s="73">
        <f t="shared" ref="K46:K51" si="23">E46/J46</f>
        <v>8.5617142857142863</v>
      </c>
      <c r="L46" s="49">
        <f t="shared" ref="L46:L51" si="24">ROUNDUP(K46/6,0)</f>
        <v>2</v>
      </c>
      <c r="M46" s="49">
        <f>ROUNDUP($L46/4,0)</f>
        <v>1</v>
      </c>
      <c r="N46" s="59"/>
      <c r="O46" s="59"/>
      <c r="P46" s="59"/>
      <c r="Q46" s="59"/>
      <c r="R46" s="59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74"/>
      <c r="AE46" s="135"/>
      <c r="AF46" s="136"/>
      <c r="AG46" s="136"/>
      <c r="AH46" s="136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1"/>
      <c r="AZ46" s="51"/>
      <c r="BA46" s="51"/>
      <c r="BB46" s="51"/>
      <c r="BC46" s="51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74"/>
      <c r="BU46" s="74"/>
      <c r="BV46" s="74"/>
      <c r="BW46" s="74"/>
      <c r="BX46" s="58"/>
      <c r="BY46" s="58"/>
      <c r="BZ46" s="137"/>
      <c r="CA46" s="136"/>
      <c r="CB46" s="136"/>
      <c r="CC46" s="136"/>
      <c r="CD46" s="136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145">
        <f>$H$46/2</f>
        <v>8.2827451388599052E-2</v>
      </c>
      <c r="CQ46" s="145">
        <f>$H$46/2</f>
        <v>8.2827451388599052E-2</v>
      </c>
      <c r="CR46" s="58"/>
      <c r="CS46" s="58"/>
      <c r="CT46" s="58"/>
      <c r="CU46" s="58"/>
      <c r="CV46" s="58"/>
      <c r="CW46" s="42"/>
      <c r="CX46" s="43">
        <f t="shared" ref="CX46:CX51" si="25">SUM(N46:CV46)</f>
        <v>0.1656549027771981</v>
      </c>
      <c r="CY46" s="43">
        <f t="shared" si="20"/>
        <v>0</v>
      </c>
      <c r="CZ46" s="43"/>
      <c r="DA46" s="43"/>
      <c r="DB46" s="43"/>
      <c r="DC46" s="43"/>
    </row>
    <row r="47" spans="1:107" x14ac:dyDescent="0.25">
      <c r="A47" s="1">
        <v>34</v>
      </c>
      <c r="B47" s="52">
        <v>2</v>
      </c>
      <c r="C47" s="53" t="s">
        <v>117</v>
      </c>
      <c r="D47" s="75" t="s">
        <v>112</v>
      </c>
      <c r="E47" s="55">
        <v>29</v>
      </c>
      <c r="F47" s="56">
        <v>3411075.4729106771</v>
      </c>
      <c r="G47" s="56">
        <f t="shared" si="21"/>
        <v>98921188.714409634</v>
      </c>
      <c r="H47" s="57">
        <f>0.103681212841938+0.1</f>
        <v>0.20368121284193802</v>
      </c>
      <c r="I47" s="49">
        <v>2</v>
      </c>
      <c r="J47" s="49">
        <f t="shared" si="22"/>
        <v>14</v>
      </c>
      <c r="K47" s="73">
        <f t="shared" si="23"/>
        <v>2.0714285714285716</v>
      </c>
      <c r="L47" s="49">
        <f t="shared" si="24"/>
        <v>1</v>
      </c>
      <c r="M47" s="49">
        <f>ROUNDUP($L47/4,0)</f>
        <v>1</v>
      </c>
      <c r="N47" s="59"/>
      <c r="O47" s="59"/>
      <c r="P47" s="59"/>
      <c r="Q47" s="59"/>
      <c r="R47" s="59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74"/>
      <c r="AE47" s="135"/>
      <c r="AF47" s="136"/>
      <c r="AG47" s="136"/>
      <c r="AH47" s="136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1"/>
      <c r="AZ47" s="51"/>
      <c r="BA47" s="51"/>
      <c r="BB47" s="51"/>
      <c r="BC47" s="51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74"/>
      <c r="BU47" s="74"/>
      <c r="BV47" s="74"/>
      <c r="BW47" s="74"/>
      <c r="BX47" s="58"/>
      <c r="BY47" s="58"/>
      <c r="BZ47" s="137"/>
      <c r="CA47" s="136"/>
      <c r="CB47" s="136"/>
      <c r="CC47" s="136"/>
      <c r="CD47" s="136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Q47" s="145">
        <f>$H$47/4</f>
        <v>5.0920303210484505E-2</v>
      </c>
      <c r="CR47" s="145">
        <f>$H$47/4</f>
        <v>5.0920303210484505E-2</v>
      </c>
      <c r="CS47" s="145">
        <f>$H$47/4</f>
        <v>5.0920303210484505E-2</v>
      </c>
      <c r="CT47" s="145">
        <f>$H$47/4</f>
        <v>5.0920303210484505E-2</v>
      </c>
      <c r="CU47" s="58"/>
      <c r="CV47" s="58"/>
      <c r="CW47" s="42"/>
      <c r="CX47" s="43">
        <f t="shared" si="25"/>
        <v>0.20368121284193802</v>
      </c>
      <c r="CY47" s="43">
        <f t="shared" si="20"/>
        <v>0</v>
      </c>
      <c r="CZ47" s="43"/>
      <c r="DA47" s="43"/>
      <c r="DB47" s="43"/>
      <c r="DC47" s="43"/>
    </row>
    <row r="48" spans="1:107" ht="15" customHeight="1" x14ac:dyDescent="0.25">
      <c r="A48" s="1">
        <v>35</v>
      </c>
      <c r="B48" s="52">
        <v>3</v>
      </c>
      <c r="C48" s="53" t="s">
        <v>118</v>
      </c>
      <c r="D48" s="75" t="s">
        <v>112</v>
      </c>
      <c r="E48" s="55">
        <v>300</v>
      </c>
      <c r="F48" s="56">
        <v>536493.86888419511</v>
      </c>
      <c r="G48" s="56">
        <f t="shared" si="21"/>
        <v>160948160.66525853</v>
      </c>
      <c r="H48" s="57">
        <v>0.16869288288306164</v>
      </c>
      <c r="I48" s="49">
        <v>20</v>
      </c>
      <c r="J48" s="49">
        <f t="shared" si="22"/>
        <v>140</v>
      </c>
      <c r="K48" s="73">
        <f t="shared" si="23"/>
        <v>2.1428571428571428</v>
      </c>
      <c r="L48" s="49">
        <f t="shared" si="24"/>
        <v>1</v>
      </c>
      <c r="M48" s="49">
        <f>ROUNDUP($L48/4,0)</f>
        <v>1</v>
      </c>
      <c r="N48" s="59"/>
      <c r="O48" s="59"/>
      <c r="P48" s="59"/>
      <c r="Q48" s="59"/>
      <c r="R48" s="59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74"/>
      <c r="AE48" s="135"/>
      <c r="AF48" s="136"/>
      <c r="AG48" s="136"/>
      <c r="AH48" s="136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1"/>
      <c r="AZ48" s="51"/>
      <c r="BA48" s="51"/>
      <c r="BB48" s="51"/>
      <c r="BC48" s="51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74"/>
      <c r="BU48" s="74"/>
      <c r="BV48" s="74"/>
      <c r="BW48" s="74"/>
      <c r="BX48" s="58"/>
      <c r="BY48" s="58"/>
      <c r="BZ48" s="137"/>
      <c r="CA48" s="136"/>
      <c r="CB48" s="136"/>
      <c r="CC48" s="136"/>
      <c r="CD48" s="136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Q48" s="145">
        <f>$H$48/3</f>
        <v>5.6230960961020544E-2</v>
      </c>
      <c r="CR48" s="145">
        <f>$H$48/3</f>
        <v>5.6230960961020544E-2</v>
      </c>
      <c r="CS48" s="145">
        <f>$H$48/3</f>
        <v>5.6230960961020544E-2</v>
      </c>
      <c r="CT48" s="58"/>
      <c r="CU48" s="58"/>
      <c r="CV48" s="58"/>
      <c r="CW48" s="42"/>
      <c r="CX48" s="43">
        <f t="shared" si="25"/>
        <v>0.16869288288306164</v>
      </c>
      <c r="CY48" s="43">
        <f t="shared" si="20"/>
        <v>0</v>
      </c>
      <c r="CZ48" s="43"/>
      <c r="DA48" s="43"/>
      <c r="DB48" s="43"/>
      <c r="DC48" s="43"/>
    </row>
    <row r="49" spans="1:107" x14ac:dyDescent="0.25">
      <c r="A49" s="1">
        <v>36</v>
      </c>
      <c r="B49" s="52">
        <v>4</v>
      </c>
      <c r="C49" s="53" t="s">
        <v>119</v>
      </c>
      <c r="D49" s="54" t="s">
        <v>94</v>
      </c>
      <c r="E49" s="55">
        <v>1566.8</v>
      </c>
      <c r="F49" s="56">
        <v>257257.34337067872</v>
      </c>
      <c r="G49" s="56">
        <f t="shared" si="21"/>
        <v>403070805.5931794</v>
      </c>
      <c r="H49" s="57">
        <f>0.422466314125382-0.2</f>
        <v>0.22246631412538198</v>
      </c>
      <c r="I49" s="49">
        <v>2</v>
      </c>
      <c r="J49" s="49">
        <f t="shared" si="22"/>
        <v>14</v>
      </c>
      <c r="K49" s="73">
        <f t="shared" si="23"/>
        <v>111.91428571428571</v>
      </c>
      <c r="L49" s="49">
        <f t="shared" si="24"/>
        <v>19</v>
      </c>
      <c r="M49" s="49">
        <v>1</v>
      </c>
      <c r="N49" s="59"/>
      <c r="O49" s="59"/>
      <c r="P49" s="59"/>
      <c r="Q49" s="59"/>
      <c r="R49" s="59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74"/>
      <c r="AE49" s="135"/>
      <c r="AF49" s="136"/>
      <c r="AG49" s="136"/>
      <c r="AH49" s="136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1"/>
      <c r="AZ49" s="51"/>
      <c r="BA49" s="51"/>
      <c r="BB49" s="51"/>
      <c r="BC49" s="51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74"/>
      <c r="BU49" s="74"/>
      <c r="BV49" s="74"/>
      <c r="BW49" s="74"/>
      <c r="BX49" s="58"/>
      <c r="BY49" s="58"/>
      <c r="BZ49" s="137"/>
      <c r="CA49" s="136"/>
      <c r="CB49" s="136"/>
      <c r="CC49" s="136"/>
      <c r="CD49" s="136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45">
        <f>$H$49/3</f>
        <v>7.4155438041793989E-2</v>
      </c>
      <c r="CU49" s="145">
        <f>$H$49/3</f>
        <v>7.4155438041793989E-2</v>
      </c>
      <c r="CV49" s="145">
        <f>$H$49/3</f>
        <v>7.4155438041793989E-2</v>
      </c>
      <c r="CW49" s="42"/>
      <c r="CX49" s="43">
        <f t="shared" si="25"/>
        <v>0.22246631412538198</v>
      </c>
      <c r="CY49" s="43">
        <f t="shared" si="20"/>
        <v>0</v>
      </c>
      <c r="CZ49" s="43"/>
      <c r="DA49" s="43"/>
      <c r="DB49" s="43"/>
      <c r="DC49" s="43"/>
    </row>
    <row r="50" spans="1:107" x14ac:dyDescent="0.25">
      <c r="A50" s="1">
        <v>37</v>
      </c>
      <c r="B50" s="52">
        <v>5</v>
      </c>
      <c r="C50" s="53" t="s">
        <v>120</v>
      </c>
      <c r="D50" s="54" t="s">
        <v>103</v>
      </c>
      <c r="E50" s="55">
        <v>3200</v>
      </c>
      <c r="F50" s="56">
        <v>315675.12630655739</v>
      </c>
      <c r="G50" s="56">
        <f t="shared" si="21"/>
        <v>1010160404.1809837</v>
      </c>
      <c r="H50" s="57">
        <f>1.05876867465434</f>
        <v>1.0587686746543401</v>
      </c>
      <c r="I50" s="49">
        <v>8</v>
      </c>
      <c r="J50" s="49">
        <f t="shared" si="22"/>
        <v>56</v>
      </c>
      <c r="K50" s="73">
        <f t="shared" si="23"/>
        <v>57.142857142857146</v>
      </c>
      <c r="L50" s="49">
        <f t="shared" si="24"/>
        <v>10</v>
      </c>
      <c r="M50" s="49">
        <v>1</v>
      </c>
      <c r="N50" s="59"/>
      <c r="O50" s="59"/>
      <c r="P50" s="59"/>
      <c r="Q50" s="59"/>
      <c r="R50" s="59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74"/>
      <c r="AE50" s="135"/>
      <c r="AF50" s="136"/>
      <c r="AG50" s="136"/>
      <c r="AH50" s="136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1"/>
      <c r="AZ50" s="51"/>
      <c r="BA50" s="51"/>
      <c r="BB50" s="51"/>
      <c r="BC50" s="51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74"/>
      <c r="BU50" s="74"/>
      <c r="BV50" s="74"/>
      <c r="BW50" s="74"/>
      <c r="BX50" s="58"/>
      <c r="BY50" s="58"/>
      <c r="BZ50" s="137"/>
      <c r="CA50" s="136"/>
      <c r="CB50" s="136"/>
      <c r="CC50" s="136"/>
      <c r="CD50" s="136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145">
        <f t="shared" ref="CO50:CU50" si="26">$H$50/7</f>
        <v>0.15125266780776286</v>
      </c>
      <c r="CP50" s="145">
        <f t="shared" si="26"/>
        <v>0.15125266780776286</v>
      </c>
      <c r="CQ50" s="145">
        <f t="shared" si="26"/>
        <v>0.15125266780776286</v>
      </c>
      <c r="CR50" s="145">
        <f t="shared" si="26"/>
        <v>0.15125266780776286</v>
      </c>
      <c r="CS50" s="145">
        <f t="shared" si="26"/>
        <v>0.15125266780776286</v>
      </c>
      <c r="CT50" s="145">
        <f t="shared" si="26"/>
        <v>0.15125266780776286</v>
      </c>
      <c r="CU50" s="145">
        <f t="shared" si="26"/>
        <v>0.15125266780776286</v>
      </c>
      <c r="CV50" s="58"/>
      <c r="CW50" s="42"/>
      <c r="CX50" s="43">
        <f t="shared" si="25"/>
        <v>1.0587686746543399</v>
      </c>
      <c r="CY50" s="43">
        <f t="shared" si="20"/>
        <v>0</v>
      </c>
      <c r="CZ50" s="43"/>
      <c r="DA50" s="43"/>
      <c r="DB50" s="43"/>
      <c r="DC50" s="43"/>
    </row>
    <row r="51" spans="1:107" ht="15" customHeight="1" x14ac:dyDescent="0.25">
      <c r="A51" s="1">
        <v>38</v>
      </c>
      <c r="B51" s="52">
        <v>6</v>
      </c>
      <c r="C51" s="53" t="s">
        <v>142</v>
      </c>
      <c r="D51" s="54" t="s">
        <v>112</v>
      </c>
      <c r="E51" s="55">
        <v>100</v>
      </c>
      <c r="F51" s="56">
        <v>2000000</v>
      </c>
      <c r="G51" s="56">
        <f t="shared" si="21"/>
        <v>200000000</v>
      </c>
      <c r="H51" s="57">
        <v>0.20962387166873023</v>
      </c>
      <c r="I51" s="49">
        <v>3</v>
      </c>
      <c r="J51" s="49">
        <f t="shared" si="22"/>
        <v>21</v>
      </c>
      <c r="K51" s="73">
        <f t="shared" si="23"/>
        <v>4.7619047619047619</v>
      </c>
      <c r="L51" s="49">
        <f t="shared" si="24"/>
        <v>1</v>
      </c>
      <c r="M51" s="49">
        <f>ROUNDUP($L51/4,0)</f>
        <v>1</v>
      </c>
      <c r="N51" s="59"/>
      <c r="O51" s="59"/>
      <c r="P51" s="59"/>
      <c r="Q51" s="59"/>
      <c r="R51" s="59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74"/>
      <c r="AE51" s="135"/>
      <c r="AF51" s="136"/>
      <c r="AG51" s="136"/>
      <c r="AH51" s="136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1"/>
      <c r="AZ51" s="51"/>
      <c r="BA51" s="51"/>
      <c r="BB51" s="51"/>
      <c r="BC51" s="51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74"/>
      <c r="BU51" s="74"/>
      <c r="BV51" s="74"/>
      <c r="BW51" s="74"/>
      <c r="BX51" s="58"/>
      <c r="BY51" s="58"/>
      <c r="BZ51" s="137"/>
      <c r="CA51" s="136"/>
      <c r="CB51" s="136"/>
      <c r="CC51" s="136"/>
      <c r="CD51" s="136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45">
        <f>$H$51/3</f>
        <v>6.9874623889576742E-2</v>
      </c>
      <c r="CU51" s="145">
        <f>$H$51/3</f>
        <v>6.9874623889576742E-2</v>
      </c>
      <c r="CV51" s="145">
        <f>$H$51/3</f>
        <v>6.9874623889576742E-2</v>
      </c>
      <c r="CW51" s="42"/>
      <c r="CX51" s="43">
        <f t="shared" si="25"/>
        <v>0.20962387166873023</v>
      </c>
      <c r="CY51" s="43">
        <f t="shared" si="20"/>
        <v>0</v>
      </c>
      <c r="CZ51" s="43"/>
      <c r="DA51" s="43"/>
      <c r="DB51" s="43"/>
      <c r="DC51" s="43"/>
    </row>
    <row r="52" spans="1:107" ht="14.4" thickBot="1" x14ac:dyDescent="0.3">
      <c r="B52" s="76"/>
      <c r="C52" s="77"/>
      <c r="D52" s="78"/>
      <c r="E52" s="79"/>
      <c r="F52" s="78"/>
      <c r="G52" s="78"/>
      <c r="H52" s="80"/>
      <c r="I52" s="81"/>
      <c r="J52" s="81"/>
      <c r="K52" s="81"/>
      <c r="L52" s="81"/>
      <c r="M52" s="81"/>
      <c r="N52" s="82"/>
      <c r="O52" s="83"/>
      <c r="P52" s="83"/>
      <c r="Q52" s="83"/>
      <c r="R52" s="83"/>
      <c r="S52" s="138"/>
      <c r="T52" s="138"/>
      <c r="U52" s="138"/>
      <c r="V52" s="138"/>
      <c r="W52" s="138"/>
      <c r="X52" s="139"/>
      <c r="Y52" s="139"/>
      <c r="Z52" s="139"/>
      <c r="AA52" s="138"/>
      <c r="AB52" s="138"/>
      <c r="AC52" s="138"/>
      <c r="AD52" s="139"/>
      <c r="AE52" s="140"/>
      <c r="AF52" s="141"/>
      <c r="AG52" s="141"/>
      <c r="AH52" s="141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8"/>
      <c r="AX52" s="138"/>
      <c r="AY52" s="84"/>
      <c r="AZ52" s="84"/>
      <c r="BA52" s="84"/>
      <c r="BB52" s="84"/>
      <c r="BC52" s="84"/>
      <c r="BD52" s="138"/>
      <c r="BE52" s="138"/>
      <c r="BF52" s="138"/>
      <c r="BG52" s="138"/>
      <c r="BH52" s="138"/>
      <c r="BI52" s="138"/>
      <c r="BJ52" s="138"/>
      <c r="BK52" s="138"/>
      <c r="BL52" s="138"/>
      <c r="BM52" s="138"/>
      <c r="BN52" s="138"/>
      <c r="BO52" s="138"/>
      <c r="BP52" s="138"/>
      <c r="BQ52" s="138"/>
      <c r="BR52" s="138"/>
      <c r="BS52" s="138"/>
      <c r="BT52" s="139"/>
      <c r="BU52" s="139"/>
      <c r="BV52" s="139"/>
      <c r="BW52" s="139"/>
      <c r="BX52" s="138"/>
      <c r="BY52" s="138"/>
      <c r="BZ52" s="142"/>
      <c r="CA52" s="141"/>
      <c r="CB52" s="141"/>
      <c r="CC52" s="141"/>
      <c r="CD52" s="141"/>
      <c r="CE52" s="138"/>
      <c r="CF52" s="138"/>
      <c r="CG52" s="138"/>
      <c r="CH52" s="138"/>
      <c r="CI52" s="138"/>
      <c r="CJ52" s="138"/>
      <c r="CK52" s="138"/>
      <c r="CL52" s="138"/>
      <c r="CM52" s="138"/>
      <c r="CN52" s="138"/>
      <c r="CO52" s="138"/>
      <c r="CP52" s="138"/>
      <c r="CQ52" s="138"/>
      <c r="CR52" s="138"/>
      <c r="CS52" s="138"/>
      <c r="CT52" s="138"/>
      <c r="CU52" s="138"/>
      <c r="CV52" s="138"/>
      <c r="CW52" s="42"/>
      <c r="CX52" s="43"/>
      <c r="CY52" s="43"/>
      <c r="CZ52" s="43"/>
      <c r="DA52" s="43"/>
      <c r="DB52" s="43"/>
      <c r="DC52" s="43"/>
    </row>
    <row r="53" spans="1:107" ht="18" x14ac:dyDescent="0.35">
      <c r="B53" s="85"/>
      <c r="C53" s="86" t="s">
        <v>121</v>
      </c>
      <c r="D53" s="87"/>
      <c r="E53" s="87"/>
      <c r="F53" s="88"/>
      <c r="G53" s="89">
        <f>SUM(G10:G51)</f>
        <v>88949457646.092667</v>
      </c>
      <c r="H53" s="90">
        <f>SUM(H9:H52)</f>
        <v>100.00478155481602</v>
      </c>
      <c r="I53" s="91"/>
      <c r="J53" s="91"/>
      <c r="K53" s="91"/>
      <c r="L53" s="92"/>
      <c r="M53" s="92"/>
      <c r="N53" s="93">
        <f t="shared" ref="N53:AS53" si="27">SUM(N10:N51)</f>
        <v>0</v>
      </c>
      <c r="O53" s="93">
        <f t="shared" si="27"/>
        <v>0.3665617488025622</v>
      </c>
      <c r="P53" s="93">
        <f t="shared" si="27"/>
        <v>0.43419077696688768</v>
      </c>
      <c r="Q53" s="93">
        <f t="shared" si="27"/>
        <v>0.36501489931620673</v>
      </c>
      <c r="R53" s="93">
        <f t="shared" si="27"/>
        <v>0.35907555628559273</v>
      </c>
      <c r="S53" s="93">
        <f t="shared" si="27"/>
        <v>0.35907555628559273</v>
      </c>
      <c r="T53" s="93">
        <f t="shared" si="27"/>
        <v>0.45413257213194946</v>
      </c>
      <c r="U53" s="93">
        <f t="shared" si="27"/>
        <v>0.45413257213194946</v>
      </c>
      <c r="V53" s="93">
        <f t="shared" si="27"/>
        <v>0.57690830003413196</v>
      </c>
      <c r="W53" s="93">
        <f t="shared" si="27"/>
        <v>0.57690830003413196</v>
      </c>
      <c r="X53" s="93">
        <f t="shared" si="27"/>
        <v>0.56805319545609945</v>
      </c>
      <c r="Y53" s="93">
        <f t="shared" si="27"/>
        <v>0.56805319545609945</v>
      </c>
      <c r="Z53" s="93">
        <f t="shared" si="27"/>
        <v>0.56805319545609945</v>
      </c>
      <c r="AA53" s="93">
        <f t="shared" si="27"/>
        <v>0.31848601783531039</v>
      </c>
      <c r="AB53" s="93">
        <f t="shared" si="27"/>
        <v>0.31848601783531039</v>
      </c>
      <c r="AC53" s="93">
        <f t="shared" si="27"/>
        <v>0.31848601783531039</v>
      </c>
      <c r="AD53" s="93">
        <f t="shared" si="27"/>
        <v>0.31848601783531039</v>
      </c>
      <c r="AE53" s="93">
        <f t="shared" si="27"/>
        <v>3.2137045767632252E-3</v>
      </c>
      <c r="AF53" s="93">
        <f t="shared" si="27"/>
        <v>1.3493387045767633</v>
      </c>
      <c r="AG53" s="93">
        <f t="shared" si="27"/>
        <v>1.3493387045767633</v>
      </c>
      <c r="AH53" s="93">
        <f t="shared" si="27"/>
        <v>1.3493387045767633</v>
      </c>
      <c r="AI53" s="93">
        <f t="shared" si="27"/>
        <v>1.3493387045767633</v>
      </c>
      <c r="AJ53" s="93">
        <f t="shared" si="27"/>
        <v>1.3493387045767633</v>
      </c>
      <c r="AK53" s="93">
        <f t="shared" si="27"/>
        <v>1.3493387045767633</v>
      </c>
      <c r="AL53" s="93">
        <f t="shared" si="27"/>
        <v>1.3493387045767633</v>
      </c>
      <c r="AM53" s="93">
        <f t="shared" si="27"/>
        <v>1.3493387045767633</v>
      </c>
      <c r="AN53" s="93">
        <f t="shared" si="27"/>
        <v>1.5343615233865928</v>
      </c>
      <c r="AO53" s="93">
        <f t="shared" si="27"/>
        <v>1.5343615233865928</v>
      </c>
      <c r="AP53" s="93">
        <f t="shared" si="27"/>
        <v>1.5343615233865928</v>
      </c>
      <c r="AQ53" s="93">
        <f t="shared" si="27"/>
        <v>1.5343615233865928</v>
      </c>
      <c r="AR53" s="93">
        <f t="shared" si="27"/>
        <v>1.5343615233865928</v>
      </c>
      <c r="AS53" s="93">
        <f t="shared" si="27"/>
        <v>1.5343615233865928</v>
      </c>
      <c r="AT53" s="93">
        <f t="shared" ref="AT53:BY53" si="28">SUM(AT10:AT51)</f>
        <v>1.5343615233865928</v>
      </c>
      <c r="AU53" s="93">
        <f t="shared" si="28"/>
        <v>1.5343615233865928</v>
      </c>
      <c r="AV53" s="93">
        <f t="shared" si="28"/>
        <v>1.5343615233865928</v>
      </c>
      <c r="AW53" s="93">
        <f t="shared" si="28"/>
        <v>1.5343615233865928</v>
      </c>
      <c r="AX53" s="93">
        <f t="shared" si="28"/>
        <v>1.5343615233865928</v>
      </c>
      <c r="AY53" s="93">
        <f t="shared" si="28"/>
        <v>1.5343615233865928</v>
      </c>
      <c r="AZ53" s="93">
        <f t="shared" si="28"/>
        <v>1.5343615233865928</v>
      </c>
      <c r="BA53" s="93">
        <f t="shared" si="28"/>
        <v>2.9102208410676385</v>
      </c>
      <c r="BB53" s="93">
        <f t="shared" si="28"/>
        <v>2.9102208410676385</v>
      </c>
      <c r="BC53" s="93">
        <f t="shared" si="28"/>
        <v>2.9102208410676385</v>
      </c>
      <c r="BD53" s="93">
        <f t="shared" si="28"/>
        <v>2.9102208410676385</v>
      </c>
      <c r="BE53" s="93">
        <f t="shared" si="28"/>
        <v>1.3790730222578089</v>
      </c>
      <c r="BF53" s="93">
        <f t="shared" si="28"/>
        <v>1.3790730222578089</v>
      </c>
      <c r="BG53" s="93">
        <f t="shared" si="28"/>
        <v>1.3790730222578089</v>
      </c>
      <c r="BH53" s="93">
        <f t="shared" si="28"/>
        <v>1.3790730222578089</v>
      </c>
      <c r="BI53" s="93">
        <f t="shared" si="28"/>
        <v>1.3790730222578089</v>
      </c>
      <c r="BJ53" s="93">
        <f t="shared" si="28"/>
        <v>1.3790730222578089</v>
      </c>
      <c r="BK53" s="93">
        <f t="shared" si="28"/>
        <v>1.3790730222578089</v>
      </c>
      <c r="BL53" s="93">
        <f t="shared" si="28"/>
        <v>1.2055167042098633</v>
      </c>
      <c r="BM53" s="93">
        <f t="shared" si="28"/>
        <v>1.2055167042098633</v>
      </c>
      <c r="BN53" s="93">
        <f t="shared" si="28"/>
        <v>1.2055167042098633</v>
      </c>
      <c r="BO53" s="93">
        <f t="shared" si="28"/>
        <v>1.2055167042098633</v>
      </c>
      <c r="BP53" s="93">
        <f t="shared" si="28"/>
        <v>1.2055167042098633</v>
      </c>
      <c r="BQ53" s="93">
        <f t="shared" si="28"/>
        <v>1.2055167042098633</v>
      </c>
      <c r="BR53" s="93">
        <f t="shared" si="28"/>
        <v>1.2055167042098633</v>
      </c>
      <c r="BS53" s="93">
        <f t="shared" si="28"/>
        <v>1.2055167042098633</v>
      </c>
      <c r="BT53" s="93">
        <f t="shared" si="28"/>
        <v>1.2055167042098633</v>
      </c>
      <c r="BU53" s="93">
        <f t="shared" si="28"/>
        <v>1.2055167042098633</v>
      </c>
      <c r="BV53" s="93">
        <f t="shared" si="28"/>
        <v>1.5745167042098633</v>
      </c>
      <c r="BW53" s="93">
        <f t="shared" si="28"/>
        <v>1.5745167042098633</v>
      </c>
      <c r="BX53" s="93">
        <f t="shared" si="28"/>
        <v>0.62381683128751564</v>
      </c>
      <c r="BY53" s="93">
        <f t="shared" si="28"/>
        <v>1.8815285138169076</v>
      </c>
      <c r="BZ53" s="93">
        <f t="shared" ref="BZ53:CV53" si="29">SUM(BZ10:BZ51)</f>
        <v>1.5125285138169078</v>
      </c>
      <c r="CA53" s="93">
        <f t="shared" si="29"/>
        <v>2.4330261939793112</v>
      </c>
      <c r="CB53" s="93">
        <f t="shared" si="29"/>
        <v>2.1814230672685584</v>
      </c>
      <c r="CC53" s="93">
        <f t="shared" si="29"/>
        <v>0.92371138473916647</v>
      </c>
      <c r="CD53" s="93">
        <f t="shared" si="29"/>
        <v>2.6933780514058334</v>
      </c>
      <c r="CE53" s="93">
        <f t="shared" si="29"/>
        <v>1.77288037124343</v>
      </c>
      <c r="CF53" s="93">
        <f t="shared" si="29"/>
        <v>1.77288037124343</v>
      </c>
      <c r="CG53" s="93">
        <f t="shared" si="29"/>
        <v>1.77288037124343</v>
      </c>
      <c r="CH53" s="93">
        <f t="shared" si="29"/>
        <v>1.77288037124343</v>
      </c>
      <c r="CI53" s="93">
        <f t="shared" si="29"/>
        <v>1.77288037124343</v>
      </c>
      <c r="CJ53" s="93">
        <f t="shared" si="29"/>
        <v>6.444384570932769E-3</v>
      </c>
      <c r="CK53" s="93">
        <f t="shared" si="29"/>
        <v>0.22890751286395886</v>
      </c>
      <c r="CL53" s="93">
        <f t="shared" si="29"/>
        <v>0.22890751286395886</v>
      </c>
      <c r="CM53" s="93">
        <f t="shared" si="29"/>
        <v>0.92946316615742219</v>
      </c>
      <c r="CN53" s="93">
        <f t="shared" si="29"/>
        <v>0.9262324861632526</v>
      </c>
      <c r="CO53" s="93">
        <f t="shared" si="29"/>
        <v>0.50072691647097434</v>
      </c>
      <c r="CP53" s="93">
        <f t="shared" si="29"/>
        <v>0.24012580827837771</v>
      </c>
      <c r="CQ53" s="93">
        <f t="shared" si="29"/>
        <v>0.34444508794463019</v>
      </c>
      <c r="CR53" s="93">
        <f t="shared" si="29"/>
        <v>0.26161763655603115</v>
      </c>
      <c r="CS53" s="93">
        <f t="shared" si="29"/>
        <v>0.26161763655603115</v>
      </c>
      <c r="CT53" s="93">
        <f t="shared" si="29"/>
        <v>0.34941673752638136</v>
      </c>
      <c r="CU53" s="93">
        <f t="shared" si="29"/>
        <v>0.29849643431589679</v>
      </c>
      <c r="CV53" s="93">
        <f t="shared" si="29"/>
        <v>0.14724376650813395</v>
      </c>
      <c r="CW53" s="101"/>
      <c r="CX53" s="102">
        <f>SUM(CX11:CX52)</f>
        <v>99.986963525724164</v>
      </c>
      <c r="CY53" s="103">
        <f>SUM(CY11:CY52)</f>
        <v>-4.4408920985006262E-16</v>
      </c>
    </row>
    <row r="54" spans="1:107" ht="18.600000000000001" thickBot="1" x14ac:dyDescent="0.4">
      <c r="B54" s="104"/>
      <c r="C54" s="105" t="s">
        <v>122</v>
      </c>
      <c r="D54" s="106"/>
      <c r="E54" s="106"/>
      <c r="F54" s="107"/>
      <c r="G54" s="107"/>
      <c r="H54" s="108"/>
      <c r="I54" s="108"/>
      <c r="J54" s="108"/>
      <c r="K54" s="108"/>
      <c r="L54" s="108"/>
      <c r="M54" s="108"/>
      <c r="N54" s="109">
        <f>N53</f>
        <v>0</v>
      </c>
      <c r="O54" s="110">
        <f>O53+N54</f>
        <v>0.3665617488025622</v>
      </c>
      <c r="P54" s="110">
        <f t="shared" ref="P54:CA54" si="30">P53+O54</f>
        <v>0.80075252576944989</v>
      </c>
      <c r="Q54" s="110">
        <f t="shared" si="30"/>
        <v>1.1657674250856567</v>
      </c>
      <c r="R54" s="110">
        <f t="shared" si="30"/>
        <v>1.5248429813712494</v>
      </c>
      <c r="S54" s="110">
        <f t="shared" si="30"/>
        <v>1.8839185376568421</v>
      </c>
      <c r="T54" s="110">
        <f t="shared" si="30"/>
        <v>2.3380511097887915</v>
      </c>
      <c r="U54" s="110">
        <f t="shared" si="30"/>
        <v>2.7921836819207408</v>
      </c>
      <c r="V54" s="110">
        <f t="shared" si="30"/>
        <v>3.369091981954873</v>
      </c>
      <c r="W54" s="110">
        <f t="shared" si="30"/>
        <v>3.9460002819890052</v>
      </c>
      <c r="X54" s="111">
        <f t="shared" si="30"/>
        <v>4.5140534774451044</v>
      </c>
      <c r="Y54" s="111">
        <f t="shared" si="30"/>
        <v>5.0821066729012037</v>
      </c>
      <c r="Z54" s="111">
        <f t="shared" si="30"/>
        <v>5.6501598683573029</v>
      </c>
      <c r="AA54" s="110">
        <f t="shared" si="30"/>
        <v>5.968645886192613</v>
      </c>
      <c r="AB54" s="110">
        <f t="shared" si="30"/>
        <v>6.2871319040279232</v>
      </c>
      <c r="AC54" s="110">
        <f t="shared" si="30"/>
        <v>6.6056179218632334</v>
      </c>
      <c r="AD54" s="111">
        <f t="shared" si="30"/>
        <v>6.9241039396985435</v>
      </c>
      <c r="AE54" s="112">
        <f t="shared" si="30"/>
        <v>6.9273176442753064</v>
      </c>
      <c r="AF54" s="113">
        <f t="shared" si="30"/>
        <v>8.2766563488520699</v>
      </c>
      <c r="AG54" s="113">
        <f t="shared" si="30"/>
        <v>9.6259950534288325</v>
      </c>
      <c r="AH54" s="113">
        <f t="shared" si="30"/>
        <v>10.975333758005595</v>
      </c>
      <c r="AI54" s="110">
        <f t="shared" si="30"/>
        <v>12.324672462582358</v>
      </c>
      <c r="AJ54" s="110">
        <f t="shared" si="30"/>
        <v>13.67401116715912</v>
      </c>
      <c r="AK54" s="110">
        <f t="shared" si="30"/>
        <v>15.023349871735883</v>
      </c>
      <c r="AL54" s="110">
        <f t="shared" si="30"/>
        <v>16.372688576312648</v>
      </c>
      <c r="AM54" s="110">
        <f t="shared" si="30"/>
        <v>17.72202728088941</v>
      </c>
      <c r="AN54" s="110">
        <f t="shared" si="30"/>
        <v>19.256388804276003</v>
      </c>
      <c r="AO54" s="110">
        <f t="shared" si="30"/>
        <v>20.790750327662597</v>
      </c>
      <c r="AP54" s="110">
        <f t="shared" si="30"/>
        <v>22.32511185104919</v>
      </c>
      <c r="AQ54" s="110">
        <f t="shared" si="30"/>
        <v>23.859473374435783</v>
      </c>
      <c r="AR54" s="110">
        <f t="shared" si="30"/>
        <v>25.393834897822376</v>
      </c>
      <c r="AS54" s="110">
        <f t="shared" si="30"/>
        <v>26.92819642120897</v>
      </c>
      <c r="AT54" s="110">
        <f t="shared" si="30"/>
        <v>28.462557944595563</v>
      </c>
      <c r="AU54" s="110">
        <f t="shared" si="30"/>
        <v>29.996919467982156</v>
      </c>
      <c r="AV54" s="110">
        <f t="shared" si="30"/>
        <v>31.53128099136875</v>
      </c>
      <c r="AW54" s="110">
        <f t="shared" si="30"/>
        <v>33.065642514755339</v>
      </c>
      <c r="AX54" s="110">
        <f t="shared" si="30"/>
        <v>34.600004038141932</v>
      </c>
      <c r="AY54" s="114">
        <f t="shared" si="30"/>
        <v>36.134365561528526</v>
      </c>
      <c r="AZ54" s="114">
        <f t="shared" si="30"/>
        <v>37.668727084915119</v>
      </c>
      <c r="BA54" s="114">
        <f t="shared" si="30"/>
        <v>40.57894792598276</v>
      </c>
      <c r="BB54" s="115">
        <f t="shared" si="30"/>
        <v>43.489168767050401</v>
      </c>
      <c r="BC54" s="115">
        <f t="shared" si="30"/>
        <v>46.399389608118042</v>
      </c>
      <c r="BD54" s="110">
        <f t="shared" si="30"/>
        <v>49.309610449185683</v>
      </c>
      <c r="BE54" s="110">
        <f t="shared" si="30"/>
        <v>50.68868347144349</v>
      </c>
      <c r="BF54" s="110">
        <f t="shared" si="30"/>
        <v>52.067756493701296</v>
      </c>
      <c r="BG54" s="110">
        <f t="shared" si="30"/>
        <v>53.446829515959102</v>
      </c>
      <c r="BH54" s="110">
        <f t="shared" si="30"/>
        <v>54.825902538216909</v>
      </c>
      <c r="BI54" s="110">
        <f t="shared" si="30"/>
        <v>56.204975560474715</v>
      </c>
      <c r="BJ54" s="110">
        <f t="shared" si="30"/>
        <v>57.584048582732521</v>
      </c>
      <c r="BK54" s="110">
        <f t="shared" si="30"/>
        <v>58.963121604990327</v>
      </c>
      <c r="BL54" s="110">
        <f t="shared" si="30"/>
        <v>60.16863830920019</v>
      </c>
      <c r="BM54" s="110">
        <f t="shared" si="30"/>
        <v>61.374155013410054</v>
      </c>
      <c r="BN54" s="110">
        <f t="shared" si="30"/>
        <v>62.579671717619917</v>
      </c>
      <c r="BO54" s="110">
        <f t="shared" si="30"/>
        <v>63.78518842182978</v>
      </c>
      <c r="BP54" s="110">
        <f t="shared" si="30"/>
        <v>64.990705126039643</v>
      </c>
      <c r="BQ54" s="110">
        <f t="shared" si="30"/>
        <v>66.196221830249513</v>
      </c>
      <c r="BR54" s="110">
        <f t="shared" si="30"/>
        <v>67.401738534459383</v>
      </c>
      <c r="BS54" s="110">
        <f t="shared" si="30"/>
        <v>68.607255238669254</v>
      </c>
      <c r="BT54" s="111">
        <f t="shared" si="30"/>
        <v>69.812771942879124</v>
      </c>
      <c r="BU54" s="111">
        <f t="shared" si="30"/>
        <v>71.018288647088994</v>
      </c>
      <c r="BV54" s="111">
        <f t="shared" si="30"/>
        <v>72.592805351298864</v>
      </c>
      <c r="BW54" s="111">
        <f t="shared" si="30"/>
        <v>74.167322055508734</v>
      </c>
      <c r="BX54" s="110">
        <f t="shared" si="30"/>
        <v>74.791138886796247</v>
      </c>
      <c r="BY54" s="110">
        <f t="shared" si="30"/>
        <v>76.67266740061315</v>
      </c>
      <c r="BZ54" s="116">
        <f t="shared" si="30"/>
        <v>78.185195914430054</v>
      </c>
      <c r="CA54" s="113">
        <f t="shared" si="30"/>
        <v>80.61822210840937</v>
      </c>
      <c r="CB54" s="113">
        <f t="shared" ref="CB54:CP54" si="31">CB53+CA54</f>
        <v>82.799645175677924</v>
      </c>
      <c r="CC54" s="113">
        <f t="shared" si="31"/>
        <v>83.723356560417088</v>
      </c>
      <c r="CD54" s="113">
        <f t="shared" si="31"/>
        <v>86.416734611822918</v>
      </c>
      <c r="CE54" s="110">
        <f t="shared" si="31"/>
        <v>88.189614983066349</v>
      </c>
      <c r="CF54" s="110">
        <f t="shared" si="31"/>
        <v>89.96249535430978</v>
      </c>
      <c r="CG54" s="110">
        <f t="shared" si="31"/>
        <v>91.735375725553212</v>
      </c>
      <c r="CH54" s="110">
        <f t="shared" si="31"/>
        <v>93.508256096796643</v>
      </c>
      <c r="CI54" s="110">
        <f t="shared" si="31"/>
        <v>95.281136468040074</v>
      </c>
      <c r="CJ54" s="110">
        <f t="shared" si="31"/>
        <v>95.287580852611001</v>
      </c>
      <c r="CK54" s="110">
        <f t="shared" si="31"/>
        <v>95.516488365474956</v>
      </c>
      <c r="CL54" s="110">
        <f t="shared" si="31"/>
        <v>95.745395878338911</v>
      </c>
      <c r="CM54" s="110">
        <f t="shared" si="31"/>
        <v>96.67485904449633</v>
      </c>
      <c r="CN54" s="110">
        <f t="shared" si="31"/>
        <v>97.601091530659588</v>
      </c>
      <c r="CO54" s="110">
        <f t="shared" si="31"/>
        <v>98.101818447130569</v>
      </c>
      <c r="CP54" s="110">
        <f t="shared" si="31"/>
        <v>98.341944255408947</v>
      </c>
      <c r="CQ54" s="110">
        <f t="shared" ref="CQ54:CV54" si="32">CQ53+CP54</f>
        <v>98.686389343353582</v>
      </c>
      <c r="CR54" s="110">
        <f t="shared" si="32"/>
        <v>98.948006979909607</v>
      </c>
      <c r="CS54" s="110">
        <f t="shared" si="32"/>
        <v>99.209624616465632</v>
      </c>
      <c r="CT54" s="110">
        <f t="shared" si="32"/>
        <v>99.559041353992015</v>
      </c>
      <c r="CU54" s="110">
        <f t="shared" si="32"/>
        <v>99.857537788307908</v>
      </c>
      <c r="CV54" s="110">
        <f t="shared" si="32"/>
        <v>100.00478155481605</v>
      </c>
      <c r="CW54" s="117"/>
    </row>
    <row r="55" spans="1:107" ht="18" x14ac:dyDescent="0.35">
      <c r="B55" s="85"/>
      <c r="C55" s="86" t="s">
        <v>123</v>
      </c>
      <c r="D55" s="87"/>
      <c r="E55" s="87"/>
      <c r="F55" s="88"/>
      <c r="G55" s="89"/>
      <c r="H55" s="90"/>
      <c r="I55" s="91"/>
      <c r="J55" s="91"/>
      <c r="K55" s="91"/>
      <c r="L55" s="92"/>
      <c r="M55" s="92"/>
      <c r="N55" s="93"/>
      <c r="O55" s="94"/>
      <c r="P55" s="94"/>
      <c r="Q55" s="94"/>
      <c r="R55" s="94"/>
      <c r="S55" s="94"/>
      <c r="T55" s="94"/>
      <c r="U55" s="94"/>
      <c r="V55" s="94"/>
      <c r="W55" s="94"/>
      <c r="X55" s="95"/>
      <c r="Y55" s="95"/>
      <c r="Z55" s="95"/>
      <c r="AA55" s="94"/>
      <c r="AB55" s="94"/>
      <c r="AC55" s="94"/>
      <c r="AD55" s="95"/>
      <c r="AE55" s="96"/>
      <c r="AF55" s="97"/>
      <c r="AG55" s="97"/>
      <c r="AH55" s="97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8"/>
      <c r="AZ55" s="98"/>
      <c r="BA55" s="98"/>
      <c r="BB55" s="99"/>
      <c r="BC55" s="99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95"/>
      <c r="BU55" s="95"/>
      <c r="BV55" s="95"/>
      <c r="BW55" s="95"/>
      <c r="BX55" s="94"/>
      <c r="BY55" s="94"/>
      <c r="BZ55" s="100"/>
      <c r="CA55" s="97"/>
      <c r="CB55" s="97"/>
      <c r="CC55" s="97"/>
      <c r="CD55" s="97"/>
      <c r="CE55" s="94"/>
      <c r="CF55" s="94"/>
      <c r="CG55" s="94"/>
      <c r="CH55" s="94"/>
      <c r="CI55" s="94"/>
      <c r="CJ55" s="94"/>
      <c r="CK55" s="94"/>
      <c r="CL55" s="94"/>
      <c r="CM55" s="94"/>
      <c r="CN55" s="94"/>
      <c r="CO55" s="94"/>
      <c r="CP55" s="94"/>
      <c r="CQ55" s="94"/>
      <c r="CR55" s="94"/>
      <c r="CS55" s="94"/>
      <c r="CT55" s="94"/>
      <c r="CU55" s="94"/>
      <c r="CV55" s="94"/>
      <c r="CW55" s="101"/>
      <c r="CX55" s="102"/>
      <c r="CY55" s="103"/>
    </row>
    <row r="56" spans="1:107" ht="18.600000000000001" thickBot="1" x14ac:dyDescent="0.4">
      <c r="B56" s="104"/>
      <c r="C56" s="105" t="s">
        <v>124</v>
      </c>
      <c r="D56" s="106"/>
      <c r="E56" s="106"/>
      <c r="F56" s="107"/>
      <c r="G56" s="107"/>
      <c r="H56" s="108"/>
      <c r="I56" s="108"/>
      <c r="J56" s="108"/>
      <c r="K56" s="108"/>
      <c r="L56" s="108"/>
      <c r="M56" s="108"/>
      <c r="N56" s="109">
        <f>N55</f>
        <v>0</v>
      </c>
      <c r="O56" s="110">
        <f>O55+N56</f>
        <v>0</v>
      </c>
      <c r="P56" s="110">
        <f t="shared" ref="P56:CA56" si="33">P55+O56</f>
        <v>0</v>
      </c>
      <c r="Q56" s="110">
        <f t="shared" si="33"/>
        <v>0</v>
      </c>
      <c r="R56" s="110">
        <f t="shared" si="33"/>
        <v>0</v>
      </c>
      <c r="S56" s="110">
        <f t="shared" si="33"/>
        <v>0</v>
      </c>
      <c r="T56" s="110">
        <f t="shared" si="33"/>
        <v>0</v>
      </c>
      <c r="U56" s="110">
        <f t="shared" si="33"/>
        <v>0</v>
      </c>
      <c r="V56" s="110">
        <f t="shared" si="33"/>
        <v>0</v>
      </c>
      <c r="W56" s="110">
        <f t="shared" si="33"/>
        <v>0</v>
      </c>
      <c r="X56" s="111">
        <f t="shared" si="33"/>
        <v>0</v>
      </c>
      <c r="Y56" s="111">
        <f t="shared" si="33"/>
        <v>0</v>
      </c>
      <c r="Z56" s="111">
        <f t="shared" si="33"/>
        <v>0</v>
      </c>
      <c r="AA56" s="110">
        <f t="shared" si="33"/>
        <v>0</v>
      </c>
      <c r="AB56" s="110">
        <f t="shared" si="33"/>
        <v>0</v>
      </c>
      <c r="AC56" s="110">
        <f t="shared" si="33"/>
        <v>0</v>
      </c>
      <c r="AD56" s="111">
        <f t="shared" si="33"/>
        <v>0</v>
      </c>
      <c r="AE56" s="112">
        <f t="shared" si="33"/>
        <v>0</v>
      </c>
      <c r="AF56" s="113">
        <f t="shared" si="33"/>
        <v>0</v>
      </c>
      <c r="AG56" s="113">
        <f t="shared" si="33"/>
        <v>0</v>
      </c>
      <c r="AH56" s="113">
        <f t="shared" si="33"/>
        <v>0</v>
      </c>
      <c r="AI56" s="110">
        <f t="shared" si="33"/>
        <v>0</v>
      </c>
      <c r="AJ56" s="110">
        <f t="shared" si="33"/>
        <v>0</v>
      </c>
      <c r="AK56" s="110">
        <f t="shared" si="33"/>
        <v>0</v>
      </c>
      <c r="AL56" s="110">
        <f t="shared" si="33"/>
        <v>0</v>
      </c>
      <c r="AM56" s="110">
        <f t="shared" si="33"/>
        <v>0</v>
      </c>
      <c r="AN56" s="110">
        <f t="shared" si="33"/>
        <v>0</v>
      </c>
      <c r="AO56" s="110">
        <f t="shared" si="33"/>
        <v>0</v>
      </c>
      <c r="AP56" s="110">
        <f t="shared" si="33"/>
        <v>0</v>
      </c>
      <c r="AQ56" s="110">
        <f t="shared" si="33"/>
        <v>0</v>
      </c>
      <c r="AR56" s="110">
        <f t="shared" si="33"/>
        <v>0</v>
      </c>
      <c r="AS56" s="110">
        <f t="shared" si="33"/>
        <v>0</v>
      </c>
      <c r="AT56" s="110">
        <f t="shared" si="33"/>
        <v>0</v>
      </c>
      <c r="AU56" s="110">
        <f t="shared" si="33"/>
        <v>0</v>
      </c>
      <c r="AV56" s="110">
        <f t="shared" si="33"/>
        <v>0</v>
      </c>
      <c r="AW56" s="110">
        <f t="shared" si="33"/>
        <v>0</v>
      </c>
      <c r="AX56" s="110">
        <f t="shared" si="33"/>
        <v>0</v>
      </c>
      <c r="AY56" s="114">
        <f t="shared" si="33"/>
        <v>0</v>
      </c>
      <c r="AZ56" s="114">
        <f t="shared" si="33"/>
        <v>0</v>
      </c>
      <c r="BA56" s="114">
        <f t="shared" si="33"/>
        <v>0</v>
      </c>
      <c r="BB56" s="115">
        <f t="shared" si="33"/>
        <v>0</v>
      </c>
      <c r="BC56" s="115">
        <f t="shared" si="33"/>
        <v>0</v>
      </c>
      <c r="BD56" s="110">
        <f t="shared" si="33"/>
        <v>0</v>
      </c>
      <c r="BE56" s="110">
        <f t="shared" si="33"/>
        <v>0</v>
      </c>
      <c r="BF56" s="110">
        <f t="shared" si="33"/>
        <v>0</v>
      </c>
      <c r="BG56" s="110">
        <f t="shared" si="33"/>
        <v>0</v>
      </c>
      <c r="BH56" s="110">
        <f t="shared" si="33"/>
        <v>0</v>
      </c>
      <c r="BI56" s="110">
        <f t="shared" si="33"/>
        <v>0</v>
      </c>
      <c r="BJ56" s="110">
        <f t="shared" si="33"/>
        <v>0</v>
      </c>
      <c r="BK56" s="110">
        <f t="shared" si="33"/>
        <v>0</v>
      </c>
      <c r="BL56" s="110">
        <f t="shared" si="33"/>
        <v>0</v>
      </c>
      <c r="BM56" s="110">
        <f t="shared" si="33"/>
        <v>0</v>
      </c>
      <c r="BN56" s="110">
        <f t="shared" si="33"/>
        <v>0</v>
      </c>
      <c r="BO56" s="110">
        <f t="shared" si="33"/>
        <v>0</v>
      </c>
      <c r="BP56" s="110">
        <f t="shared" si="33"/>
        <v>0</v>
      </c>
      <c r="BQ56" s="110">
        <f t="shared" si="33"/>
        <v>0</v>
      </c>
      <c r="BR56" s="110">
        <f t="shared" si="33"/>
        <v>0</v>
      </c>
      <c r="BS56" s="110">
        <f t="shared" si="33"/>
        <v>0</v>
      </c>
      <c r="BT56" s="111">
        <f t="shared" si="33"/>
        <v>0</v>
      </c>
      <c r="BU56" s="111">
        <f t="shared" si="33"/>
        <v>0</v>
      </c>
      <c r="BV56" s="111">
        <f t="shared" si="33"/>
        <v>0</v>
      </c>
      <c r="BW56" s="111">
        <f t="shared" si="33"/>
        <v>0</v>
      </c>
      <c r="BX56" s="110">
        <f t="shared" si="33"/>
        <v>0</v>
      </c>
      <c r="BY56" s="110">
        <f t="shared" si="33"/>
        <v>0</v>
      </c>
      <c r="BZ56" s="116">
        <f t="shared" si="33"/>
        <v>0</v>
      </c>
      <c r="CA56" s="113">
        <f t="shared" si="33"/>
        <v>0</v>
      </c>
      <c r="CB56" s="113">
        <f t="shared" ref="CB56:CP56" si="34">CB55+CA56</f>
        <v>0</v>
      </c>
      <c r="CC56" s="113">
        <f t="shared" si="34"/>
        <v>0</v>
      </c>
      <c r="CD56" s="113">
        <f t="shared" si="34"/>
        <v>0</v>
      </c>
      <c r="CE56" s="110">
        <f t="shared" si="34"/>
        <v>0</v>
      </c>
      <c r="CF56" s="110">
        <f t="shared" si="34"/>
        <v>0</v>
      </c>
      <c r="CG56" s="110">
        <f t="shared" si="34"/>
        <v>0</v>
      </c>
      <c r="CH56" s="110">
        <f t="shared" si="34"/>
        <v>0</v>
      </c>
      <c r="CI56" s="110">
        <f t="shared" si="34"/>
        <v>0</v>
      </c>
      <c r="CJ56" s="110">
        <f t="shared" si="34"/>
        <v>0</v>
      </c>
      <c r="CK56" s="110">
        <f t="shared" si="34"/>
        <v>0</v>
      </c>
      <c r="CL56" s="110">
        <f t="shared" si="34"/>
        <v>0</v>
      </c>
      <c r="CM56" s="110">
        <f t="shared" si="34"/>
        <v>0</v>
      </c>
      <c r="CN56" s="110">
        <f t="shared" si="34"/>
        <v>0</v>
      </c>
      <c r="CO56" s="110">
        <f t="shared" si="34"/>
        <v>0</v>
      </c>
      <c r="CP56" s="110">
        <f t="shared" si="34"/>
        <v>0</v>
      </c>
      <c r="CQ56" s="110">
        <f t="shared" ref="CQ56:CV56" si="35">CQ55+CP56</f>
        <v>0</v>
      </c>
      <c r="CR56" s="110">
        <f t="shared" si="35"/>
        <v>0</v>
      </c>
      <c r="CS56" s="110">
        <f t="shared" si="35"/>
        <v>0</v>
      </c>
      <c r="CT56" s="110">
        <f t="shared" si="35"/>
        <v>0</v>
      </c>
      <c r="CU56" s="110">
        <f t="shared" si="35"/>
        <v>0</v>
      </c>
      <c r="CV56" s="110">
        <f t="shared" si="35"/>
        <v>0</v>
      </c>
      <c r="CW56" s="117"/>
    </row>
    <row r="57" spans="1:107" x14ac:dyDescent="0.25"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BO57" s="118"/>
      <c r="BP57" s="118"/>
      <c r="BQ57" s="118"/>
      <c r="BR57" s="118"/>
      <c r="BS57" s="119"/>
      <c r="BT57" s="119"/>
      <c r="BU57" s="119"/>
      <c r="BV57" s="119"/>
      <c r="BW57" s="119"/>
      <c r="BX57" s="119"/>
      <c r="BY57" s="119"/>
      <c r="BZ57" s="119"/>
    </row>
    <row r="58" spans="1:107" x14ac:dyDescent="0.25"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BO58" s="118"/>
      <c r="BP58" s="118"/>
      <c r="BQ58" s="118"/>
      <c r="BR58" s="118"/>
      <c r="BS58" s="119"/>
      <c r="BT58" s="119"/>
      <c r="BU58" s="119"/>
      <c r="BV58" s="119"/>
      <c r="BW58" s="119"/>
      <c r="BX58" s="119"/>
      <c r="BY58" s="119"/>
      <c r="BZ58" s="119"/>
    </row>
    <row r="59" spans="1:107" ht="14.4" x14ac:dyDescent="0.3">
      <c r="AA59" s="160"/>
      <c r="AB59" s="160"/>
      <c r="AC59" s="160"/>
      <c r="AD59" s="160"/>
      <c r="AE59" s="160"/>
      <c r="AF59" s="160"/>
      <c r="AG59" s="160"/>
      <c r="AH59" s="160"/>
      <c r="AI59" s="160"/>
      <c r="AJ59" s="120"/>
      <c r="AK59" s="120"/>
      <c r="AL59" s="120"/>
      <c r="CA59" s="121"/>
      <c r="CB59" s="121"/>
      <c r="CC59" s="121"/>
      <c r="CD59" s="121"/>
      <c r="CW59" s="122"/>
    </row>
    <row r="60" spans="1:107" ht="14.4" x14ac:dyDescent="0.3">
      <c r="BO60" s="160"/>
      <c r="BP60" s="160"/>
      <c r="BQ60" s="160"/>
      <c r="BR60" s="160"/>
      <c r="BS60" s="160"/>
      <c r="BT60" s="160"/>
      <c r="BU60" s="160"/>
      <c r="BV60" s="160"/>
      <c r="BW60" s="160"/>
      <c r="BX60" s="120"/>
      <c r="BY60" s="120"/>
      <c r="BZ60" s="120"/>
      <c r="CW60" s="122"/>
    </row>
    <row r="61" spans="1:107" s="4" customFormat="1" ht="14.4" x14ac:dyDescent="0.3">
      <c r="H61" s="5"/>
      <c r="I61" s="5"/>
      <c r="J61" s="5"/>
      <c r="K61" s="5"/>
      <c r="L61" s="5"/>
      <c r="M61" s="5"/>
      <c r="AY61" s="6"/>
      <c r="AZ61" s="6"/>
      <c r="BA61" s="6"/>
      <c r="BB61" s="6"/>
      <c r="CW61" s="123"/>
    </row>
    <row r="62" spans="1:107" s="4" customFormat="1" ht="14.4" x14ac:dyDescent="0.3">
      <c r="H62" s="5"/>
      <c r="I62" s="5"/>
      <c r="J62" s="5"/>
      <c r="K62" s="5"/>
      <c r="L62" s="5"/>
      <c r="M62" s="5"/>
      <c r="AY62" s="6"/>
      <c r="AZ62" s="6"/>
      <c r="BA62" s="6"/>
      <c r="BB62" s="6"/>
      <c r="CW62" s="123"/>
    </row>
    <row r="63" spans="1:107" s="4" customFormat="1" ht="14.4" x14ac:dyDescent="0.3">
      <c r="H63" s="5"/>
      <c r="I63" s="5"/>
      <c r="J63" s="5"/>
      <c r="K63" s="5"/>
      <c r="L63" s="5"/>
      <c r="M63" s="5"/>
      <c r="AY63" s="6"/>
      <c r="AZ63" s="6"/>
      <c r="BA63" s="6"/>
      <c r="BB63" s="6"/>
      <c r="CW63" s="123"/>
    </row>
    <row r="64" spans="1:107" s="4" customFormat="1" ht="14.4" x14ac:dyDescent="0.3">
      <c r="H64" s="5"/>
      <c r="I64" s="5"/>
      <c r="J64" s="5"/>
      <c r="K64" s="5"/>
      <c r="L64" s="5"/>
      <c r="M64" s="5"/>
      <c r="AY64" s="6"/>
      <c r="AZ64" s="6"/>
      <c r="BA64" s="6"/>
      <c r="BB64" s="6"/>
      <c r="CW64" s="123"/>
    </row>
    <row r="65" spans="8:101" s="4" customFormat="1" ht="14.4" x14ac:dyDescent="0.3">
      <c r="H65" s="5"/>
      <c r="I65" s="5"/>
      <c r="J65" s="5"/>
      <c r="K65" s="5"/>
      <c r="L65" s="5"/>
      <c r="M65" s="5"/>
      <c r="AY65" s="6"/>
      <c r="AZ65" s="6"/>
      <c r="BA65" s="6"/>
      <c r="BB65" s="6"/>
      <c r="CW65" s="123"/>
    </row>
    <row r="66" spans="8:101" s="4" customFormat="1" x14ac:dyDescent="0.25">
      <c r="H66" s="5"/>
      <c r="I66" s="5"/>
      <c r="J66" s="5"/>
      <c r="K66" s="5"/>
      <c r="L66" s="5"/>
      <c r="M66" s="5"/>
      <c r="AY66" s="6"/>
      <c r="AZ66" s="6"/>
      <c r="BA66" s="6"/>
      <c r="BB66" s="6"/>
    </row>
    <row r="67" spans="8:101" s="4" customFormat="1" x14ac:dyDescent="0.25">
      <c r="H67" s="5"/>
      <c r="I67" s="5"/>
      <c r="J67" s="5"/>
      <c r="K67" s="5"/>
      <c r="L67" s="5"/>
      <c r="M67" s="5"/>
      <c r="AY67" s="6"/>
      <c r="AZ67" s="6"/>
      <c r="BA67" s="6"/>
      <c r="BB67" s="6"/>
    </row>
    <row r="71" spans="8:101" x14ac:dyDescent="0.25">
      <c r="AE71" s="124"/>
      <c r="AF71" s="124"/>
      <c r="AG71" s="124"/>
      <c r="AH71" s="124"/>
    </row>
    <row r="72" spans="8:101" x14ac:dyDescent="0.25">
      <c r="AE72" s="125"/>
      <c r="AF72" s="125"/>
      <c r="AG72" s="125"/>
      <c r="AH72" s="125"/>
    </row>
    <row r="73" spans="8:101" x14ac:dyDescent="0.25">
      <c r="AE73" s="124"/>
      <c r="AF73" s="124"/>
      <c r="AG73" s="124"/>
      <c r="AH73" s="124"/>
    </row>
    <row r="78" spans="8:101" x14ac:dyDescent="0.25">
      <c r="AA78" s="126">
        <f>SUM(O53:AA53)</f>
        <v>5.968645886192613</v>
      </c>
      <c r="AB78" s="126"/>
      <c r="AC78" s="126"/>
      <c r="AD78" s="126"/>
      <c r="BW78" s="126">
        <f>SUM(AE53:BW53)</f>
        <v>67.243218115810166</v>
      </c>
      <c r="BX78" s="126"/>
      <c r="BY78" s="126"/>
      <c r="BZ78" s="126"/>
    </row>
    <row r="79" spans="8:101" x14ac:dyDescent="0.25">
      <c r="W79" s="161">
        <f>AA78%*$G$53</f>
        <v>5309078144.5841513</v>
      </c>
      <c r="X79" s="161"/>
      <c r="Y79" s="161"/>
      <c r="Z79" s="161"/>
      <c r="AA79" s="162"/>
      <c r="AB79" s="127"/>
      <c r="AC79" s="127"/>
      <c r="AD79" s="127"/>
      <c r="BS79" s="161">
        <f>BW78%*$G$53</f>
        <v>59812477817.792274</v>
      </c>
      <c r="BT79" s="161"/>
      <c r="BU79" s="161"/>
      <c r="BV79" s="161"/>
      <c r="BW79" s="162"/>
      <c r="BX79" s="127"/>
      <c r="BY79" s="127"/>
      <c r="BZ79" s="127"/>
    </row>
    <row r="80" spans="8:101" x14ac:dyDescent="0.25">
      <c r="W80" s="163">
        <f>AA54%*$G$53</f>
        <v>5309078144.5841513</v>
      </c>
      <c r="X80" s="163"/>
      <c r="Y80" s="163"/>
      <c r="Z80" s="163"/>
      <c r="AA80" s="164"/>
      <c r="AB80" s="128"/>
      <c r="AC80" s="128"/>
      <c r="AD80" s="128"/>
      <c r="BS80" s="163">
        <f>BW54%*$G$53</f>
        <v>65971430719.005882</v>
      </c>
      <c r="BT80" s="163"/>
      <c r="BU80" s="163"/>
      <c r="BV80" s="163"/>
      <c r="BW80" s="164"/>
      <c r="BX80" s="128"/>
      <c r="BY80" s="128"/>
      <c r="BZ80" s="128"/>
    </row>
  </sheetData>
  <mergeCells count="8">
    <mergeCell ref="C7:C8"/>
    <mergeCell ref="BO60:BW60"/>
    <mergeCell ref="W79:AA79"/>
    <mergeCell ref="BS79:BW79"/>
    <mergeCell ref="W80:AA80"/>
    <mergeCell ref="BS80:BW80"/>
    <mergeCell ref="AA59:AI59"/>
    <mergeCell ref="N7:CW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8" operator="containsText" id="{BAE88457-6F3B-4DB4-92BA-ECD9BBD912B9}">
            <xm:f>NOT(ISERROR(SEARCH("",N9)))</xm:f>
            <xm:f>""</xm:f>
            <x14:dxf>
              <fill>
                <patternFill>
                  <bgColor rgb="FFFFFF00"/>
                </patternFill>
              </fill>
            </x14:dxf>
          </x14:cfRule>
          <xm:sqref>AA11:BB11 BD9:CP11 AA13:CP14 O27:R28 O9:BB10 O11:W11 O12:CV12 O13:W14 BC50:CU50 N9:N16 CQ17:CV24 N17:Z24 O26:CP26 CQ26:CV28 N25:N29 N34:N51 N45:BB51 CQ45:CV45 BC51:CV51 N52:CV52 N30:CV32 T15:CT32 AF33:CV33 N33:AD33 N35:CV35 T34:CT35 N36:CB36 CD36:CV36 N37:CV37 N38:BW38 BY38:CV38 CK42:CV42 N43:CF43 CM43:CV43 T44:CT46 T49:CT51 T47:CO48 CQ47:CT48 CT48:CV48 N40:CV40 T39:CT40 N41:CH42 CI41:CV41</xm:sqref>
        </x14:conditionalFormatting>
        <x14:conditionalFormatting xmlns:xm="http://schemas.microsoft.com/office/excel/2006/main">
          <x14:cfRule type="containsText" priority="74" operator="containsText" id="{EDFA2DD4-C460-494A-818F-53B2ADEDCC3C}">
            <xm:f>NOT(ISERROR(SEARCH("",X11)))</xm:f>
            <xm:f>""</xm:f>
            <x14:dxf>
              <fill>
                <patternFill>
                  <bgColor rgb="FFFFFF00"/>
                </patternFill>
              </fill>
            </x14:dxf>
          </x14:cfRule>
          <xm:sqref>X11:Z11 X13:Z14</xm:sqref>
        </x14:conditionalFormatting>
        <x14:conditionalFormatting xmlns:xm="http://schemas.microsoft.com/office/excel/2006/main">
          <x14:cfRule type="containsText" priority="22" operator="containsText" id="{8B6B8C55-AB7F-4C35-8AB5-B1223B3AC628}">
            <xm:f>NOT(ISERROR(SEARCH("",BC9)))</xm:f>
            <xm:f>""</xm:f>
            <x14:dxf>
              <fill>
                <patternFill>
                  <bgColor rgb="FFFFFF00"/>
                </patternFill>
              </fill>
            </x14:dxf>
          </x14:cfRule>
          <xm:sqref>BC9:BC11</xm:sqref>
        </x14:conditionalFormatting>
        <x14:conditionalFormatting xmlns:xm="http://schemas.microsoft.com/office/excel/2006/main">
          <x14:cfRule type="containsText" priority="17" operator="containsText" id="{AC5ED299-9928-47D1-BDC1-B77CBB5F2745}">
            <xm:f>NOT(ISERROR(SEARCH("",CQ9)))</xm:f>
            <xm:f>""</xm:f>
            <x14:dxf>
              <fill>
                <patternFill>
                  <bgColor rgb="FFFFFF00"/>
                </patternFill>
              </fill>
            </x14:dxf>
          </x14:cfRule>
          <xm:sqref>CQ9:CV11 CQ13:CV14 CR46:CV46 CQ49:CV49 CU15:CV51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</cp:lastModifiedBy>
  <dcterms:created xsi:type="dcterms:W3CDTF">2019-09-19T07:03:17Z</dcterms:created>
  <dcterms:modified xsi:type="dcterms:W3CDTF">2024-09-26T00:44:31Z</dcterms:modified>
</cp:coreProperties>
</file>