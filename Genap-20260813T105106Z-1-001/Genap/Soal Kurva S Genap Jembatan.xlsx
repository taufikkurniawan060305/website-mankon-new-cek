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as\Documents\Kuliah\Semester 6\Seleksi Asdos Mankon\MANAJEMEN KONTRUKSI GASAL 2024\Soal Mankon\"/>
    </mc:Choice>
  </mc:AlternateContent>
  <xr:revisionPtr revIDLastSave="0" documentId="13_ncr:1_{20EF837A-9B31-45DC-8D8D-998079FF9B3E}" xr6:coauthVersionLast="45" xr6:coauthVersionMax="45" xr10:uidLastSave="{00000000-0000-0000-0000-000000000000}"/>
  <bookViews>
    <workbookView minimized="1" xWindow="2436" yWindow="2436" windowWidth="7068" windowHeight="10356" xr2:uid="{00000000-000D-0000-FFFF-FFFF00000000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19" i="1" l="1"/>
  <c r="I20" i="1"/>
  <c r="I21" i="1"/>
  <c r="I22" i="1"/>
  <c r="I23" i="1"/>
  <c r="I24" i="1"/>
  <c r="I25" i="1"/>
  <c r="I27" i="1"/>
  <c r="I28" i="1"/>
  <c r="I30" i="1"/>
  <c r="I31" i="1"/>
  <c r="I32" i="1"/>
  <c r="I34" i="1"/>
  <c r="I35" i="1"/>
  <c r="I36" i="1"/>
  <c r="I38" i="1"/>
  <c r="I39" i="1"/>
  <c r="I40" i="1"/>
  <c r="I42" i="1"/>
  <c r="I43" i="1"/>
  <c r="I44" i="1"/>
  <c r="I45" i="1"/>
  <c r="I46" i="1"/>
  <c r="I47" i="1"/>
  <c r="I13" i="1"/>
  <c r="I14" i="1"/>
  <c r="I15" i="1"/>
  <c r="I16" i="1"/>
  <c r="I17" i="1"/>
  <c r="I12" i="1"/>
  <c r="I48" i="1" l="1"/>
</calcChain>
</file>

<file path=xl/sharedStrings.xml><?xml version="1.0" encoding="utf-8"?>
<sst xmlns="http://schemas.openxmlformats.org/spreadsheetml/2006/main" count="78" uniqueCount="56">
  <si>
    <t>LS</t>
  </si>
  <si>
    <t>Manajemen dan Keselamatan Lalu Lintas</t>
  </si>
  <si>
    <t>Pengeboran, termasuk SPT dan Laporan</t>
  </si>
  <si>
    <t>M1</t>
  </si>
  <si>
    <t>Sondir termasuk Laporan</t>
  </si>
  <si>
    <t>Galian untuk Selokan Drainase dan Saluran Air</t>
  </si>
  <si>
    <t>M3</t>
  </si>
  <si>
    <t>m3</t>
  </si>
  <si>
    <t>Kg</t>
  </si>
  <si>
    <t>Galian Biasa</t>
  </si>
  <si>
    <t>Timbunan Biasa dari galian</t>
  </si>
  <si>
    <t>Pembersihan dan Pengupasan Lahan</t>
  </si>
  <si>
    <t>M2</t>
  </si>
  <si>
    <t>Lapisan Pondasi Agregat Kelas A</t>
  </si>
  <si>
    <t>Lapis Perekat - Aspal Cair</t>
  </si>
  <si>
    <t>Liter</t>
  </si>
  <si>
    <t>Laston Lapis Aus (AC-WC)</t>
  </si>
  <si>
    <t>Ton</t>
  </si>
  <si>
    <t xml:space="preserve">Bahan Anti Pengelupasan </t>
  </si>
  <si>
    <t>Beton mutu sedang fc’30 MPa - Lantai Jembatan</t>
  </si>
  <si>
    <t>Beton mutu sedang fc’30 MPa - Abutmen dan Pilar</t>
  </si>
  <si>
    <t>Buah</t>
  </si>
  <si>
    <t>Pasangan Batu</t>
  </si>
  <si>
    <t>Expansion Joint Tipe Asphaltic Plug, Moveable</t>
  </si>
  <si>
    <t>Sandaran (Railing)</t>
  </si>
  <si>
    <t>Marka Jalan Termoplastik</t>
  </si>
  <si>
    <t>Rambu Jalan Tunggal dengan Permukaan Pemantul Engineer Grade</t>
  </si>
  <si>
    <t>Patok Pengarah</t>
  </si>
  <si>
    <t>Kerb Pracetak Jenis 1 (Peninggi/Mountable)</t>
  </si>
  <si>
    <t>Perkerasan Blok Beton pada Trotoar dan Median</t>
  </si>
  <si>
    <t>PROGRESS REALISASI</t>
  </si>
  <si>
    <t>KUMULATIF PROGRESS REALISASI</t>
  </si>
  <si>
    <t>PEKERJAAN PERSIAPAN</t>
  </si>
  <si>
    <t>Permbersihan Lahan</t>
  </si>
  <si>
    <t>PEKERJAAN STRUKTUR</t>
  </si>
  <si>
    <t>PEKERJAAN DRAINASE</t>
  </si>
  <si>
    <t>PEKERJAAN TANAH</t>
  </si>
  <si>
    <t>PERKERASAN BERBUTIR</t>
  </si>
  <si>
    <t>Lapisan Pondasi Agregat Kelas B</t>
  </si>
  <si>
    <t>Lapisan Pondasi Agregat Kelas S</t>
  </si>
  <si>
    <t>PERKERASAN ASPAL</t>
  </si>
  <si>
    <t>FINISHING</t>
  </si>
  <si>
    <t>Mobilisasi peralatan dan material</t>
  </si>
  <si>
    <t>Pagar pemisah carbon steel</t>
  </si>
  <si>
    <t>Pekerjaan Bowplank</t>
  </si>
  <si>
    <t>Rangka baja</t>
  </si>
  <si>
    <t>Penyediaan tiang borepile</t>
  </si>
  <si>
    <t>Pengecoran beton drainase</t>
  </si>
  <si>
    <t>NO</t>
  </si>
  <si>
    <t>ITEM PEKERJAAN</t>
  </si>
  <si>
    <t>VOL</t>
  </si>
  <si>
    <t>SATUAN</t>
  </si>
  <si>
    <t>JUMLAH</t>
  </si>
  <si>
    <t>PEKERJAAN PEMBANGUNAN JEMBATAN KRETEK</t>
  </si>
  <si>
    <t>HARGA (Rp)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</si>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</sst>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8">
    <xf numFmtId="0" fontId="0" fillId="0" borderId="0"/>
    <xf numFmtId="0" fontId="1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" fillId="0" borderId="0"/>
  </cellStyleXfs>
  <cellXfs count="55">
    <xf numFmtId="0" fontId="0" fillId="0" borderId="0" xfId="0"/>
    <xf numFmtId="0" fontId="4" fillId="0" borderId="0" xfId="1" applyFont="1"/>
    <xf numFmtId="0" fontId="4" fillId="0" borderId="0" xfId="1" applyFont="1" applyAlignment="1">
      <alignment horizontal="center"/>
    </xf>
    <xf numFmtId="0" fontId="6" fillId="0" borderId="21" xfId="2" applyFont="1" applyFill="1" applyBorder="1" applyAlignment="1">
      <alignment horizontal="center" vertical="center"/>
    </xf>
    <xf numFmtId="0" fontId="6" fillId="0" borderId="6" xfId="2" applyFont="1" applyFill="1" applyBorder="1" applyAlignment="1">
      <alignment horizontal="center" vertical="center"/>
    </xf>
    <xf numFmtId="164" fontId="6" fillId="0" borderId="6" xfId="4" applyFont="1" applyFill="1" applyBorder="1" applyAlignment="1">
      <alignment horizontal="center" vertical="center"/>
    </xf>
    <xf numFmtId="0" fontId="5" fillId="2" borderId="4" xfId="2" applyFont="1" applyFill="1" applyBorder="1" applyAlignment="1"/>
    <xf numFmtId="0" fontId="6" fillId="2" borderId="5" xfId="2" applyFont="1" applyFill="1" applyBorder="1" applyAlignment="1"/>
    <xf numFmtId="0" fontId="5" fillId="2" borderId="14" xfId="2" applyFont="1" applyFill="1" applyBorder="1" applyAlignment="1">
      <alignment horizontal="center" vertical="top"/>
    </xf>
    <xf numFmtId="164" fontId="5" fillId="2" borderId="14" xfId="4" applyFont="1" applyFill="1" applyBorder="1" applyAlignment="1">
      <alignment horizontal="left" vertical="top"/>
    </xf>
    <xf numFmtId="0" fontId="5" fillId="2" borderId="14" xfId="2" applyFont="1" applyFill="1" applyBorder="1" applyAlignment="1">
      <alignment horizontal="left" vertical="top"/>
    </xf>
    <xf numFmtId="0" fontId="5" fillId="0" borderId="19" xfId="2" applyFont="1" applyFill="1" applyBorder="1" applyAlignment="1"/>
    <xf numFmtId="0" fontId="5" fillId="0" borderId="17" xfId="2" applyFont="1" applyFill="1" applyBorder="1" applyAlignment="1"/>
    <xf numFmtId="0" fontId="5" fillId="0" borderId="15" xfId="2" applyFont="1" applyFill="1" applyBorder="1" applyAlignment="1">
      <alignment horizontal="center" vertical="center"/>
    </xf>
    <xf numFmtId="164" fontId="5" fillId="0" borderId="15" xfId="4" applyFont="1" applyFill="1" applyBorder="1" applyAlignment="1">
      <alignment horizontal="right" vertical="center"/>
    </xf>
    <xf numFmtId="164" fontId="5" fillId="0" borderId="15" xfId="4" applyFont="1" applyFill="1" applyBorder="1" applyAlignment="1">
      <alignment horizontal="left" vertical="top"/>
    </xf>
    <xf numFmtId="0" fontId="5" fillId="0" borderId="20" xfId="2" applyFont="1" applyFill="1" applyBorder="1" applyAlignment="1"/>
    <xf numFmtId="0" fontId="5" fillId="0" borderId="18" xfId="2" applyFont="1" applyFill="1" applyBorder="1" applyAlignment="1">
      <alignment horizontal="center" vertical="center"/>
    </xf>
    <xf numFmtId="164" fontId="5" fillId="0" borderId="18" xfId="4" applyFont="1" applyFill="1" applyBorder="1" applyAlignment="1">
      <alignment horizontal="right" vertical="center"/>
    </xf>
    <xf numFmtId="164" fontId="5" fillId="0" borderId="18" xfId="4" applyFont="1" applyFill="1" applyBorder="1" applyAlignment="1">
      <alignment horizontal="left" vertical="top"/>
    </xf>
    <xf numFmtId="0" fontId="5" fillId="2" borderId="8" xfId="2" applyFont="1" applyFill="1" applyBorder="1" applyAlignment="1"/>
    <xf numFmtId="0" fontId="6" fillId="2" borderId="7" xfId="2" applyFont="1" applyFill="1" applyBorder="1" applyAlignment="1"/>
    <xf numFmtId="0" fontId="5" fillId="2" borderId="9" xfId="2" applyFont="1" applyFill="1" applyBorder="1" applyAlignment="1">
      <alignment horizontal="center" vertical="top"/>
    </xf>
    <xf numFmtId="164" fontId="5" fillId="2" borderId="9" xfId="4" applyFont="1" applyFill="1" applyBorder="1" applyAlignment="1">
      <alignment horizontal="left" vertical="top"/>
    </xf>
    <xf numFmtId="0" fontId="5" fillId="2" borderId="9" xfId="2" applyFont="1" applyFill="1" applyBorder="1" applyAlignment="1">
      <alignment horizontal="left" vertical="top"/>
    </xf>
    <xf numFmtId="0" fontId="5" fillId="0" borderId="16" xfId="2" applyFont="1" applyFill="1" applyBorder="1" applyAlignment="1"/>
    <xf numFmtId="0" fontId="5" fillId="0" borderId="18" xfId="2" applyFont="1" applyFill="1" applyBorder="1" applyAlignment="1">
      <alignment horizontal="center" vertical="top"/>
    </xf>
    <xf numFmtId="0" fontId="6" fillId="0" borderId="4" xfId="1" applyFont="1" applyBorder="1"/>
    <xf numFmtId="0" fontId="6" fillId="0" borderId="5" xfId="1" applyFont="1" applyBorder="1" applyAlignment="1">
      <alignment horizontal="right"/>
    </xf>
    <xf numFmtId="0" fontId="6" fillId="0" borderId="14" xfId="1" applyFont="1" applyBorder="1"/>
    <xf numFmtId="0" fontId="4" fillId="0" borderId="14" xfId="1" applyFont="1" applyBorder="1"/>
    <xf numFmtId="164" fontId="7" fillId="0" borderId="14" xfId="1" applyNumberFormat="1" applyFont="1" applyBorder="1"/>
    <xf numFmtId="0" fontId="6" fillId="0" borderId="13" xfId="1" applyFont="1" applyBorder="1"/>
    <xf numFmtId="0" fontId="6" fillId="0" borderId="11" xfId="1" applyFont="1" applyBorder="1" applyAlignment="1">
      <alignment horizontal="right"/>
    </xf>
    <xf numFmtId="0" fontId="6" fillId="0" borderId="12" xfId="1" applyFont="1" applyBorder="1"/>
    <xf numFmtId="0" fontId="4" fillId="0" borderId="12" xfId="1" applyFont="1" applyBorder="1"/>
    <xf numFmtId="0" fontId="4" fillId="0" borderId="0" xfId="1" applyFont="1" applyFill="1"/>
    <xf numFmtId="0" fontId="5" fillId="0" borderId="3" xfId="3" applyFont="1" applyBorder="1" applyAlignment="1">
      <alignment horizontal="center" vertical="center"/>
    </xf>
    <xf numFmtId="0" fontId="4" fillId="0" borderId="9" xfId="1" applyFont="1" applyBorder="1"/>
    <xf numFmtId="0" fontId="4" fillId="0" borderId="9" xfId="1" applyFont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5" fillId="0" borderId="3" xfId="3" applyFont="1" applyBorder="1" applyAlignment="1">
      <alignment horizontal="center" vertical="center"/>
    </xf>
    <xf numFmtId="0" fontId="5" fillId="0" borderId="21" xfId="3" applyFont="1" applyBorder="1" applyAlignment="1">
      <alignment horizontal="center" vertical="center"/>
    </xf>
    <xf numFmtId="0" fontId="6" fillId="0" borderId="1" xfId="2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/>
    </xf>
    <xf numFmtId="0" fontId="6" fillId="0" borderId="23" xfId="2" applyFont="1" applyFill="1" applyBorder="1" applyAlignment="1">
      <alignment horizontal="center" vertical="center"/>
    </xf>
    <xf numFmtId="0" fontId="6" fillId="0" borderId="22" xfId="2" applyFont="1" applyFill="1" applyBorder="1" applyAlignment="1">
      <alignment horizontal="center" vertical="center"/>
    </xf>
    <xf numFmtId="0" fontId="6" fillId="0" borderId="13" xfId="2" applyFont="1" applyFill="1" applyBorder="1" applyAlignment="1">
      <alignment horizontal="center" vertical="center"/>
    </xf>
    <xf numFmtId="0" fontId="6" fillId="0" borderId="11" xfId="2" applyFont="1" applyFill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164" fontId="6" fillId="0" borderId="3" xfId="4" applyFont="1" applyFill="1" applyBorder="1" applyAlignment="1">
      <alignment horizontal="center" vertical="center"/>
    </xf>
    <xf numFmtId="164" fontId="6" fillId="0" borderId="21" xfId="4" applyFont="1" applyFill="1" applyBorder="1" applyAlignment="1">
      <alignment horizontal="center" vertical="center"/>
    </xf>
  </cellXfs>
  <cellStyles count="8">
    <cellStyle name="Comma 2 2" xfId="4" xr:uid="{00000000-0005-0000-0000-000001000000}"/>
    <cellStyle name="Comma 3" xfId="5" xr:uid="{00000000-0005-0000-0000-000002000000}"/>
    <cellStyle name="Normal" xfId="0" builtinId="0"/>
    <cellStyle name="Normal 10" xfId="2" xr:uid="{00000000-0005-0000-0000-000004000000}"/>
    <cellStyle name="Normal 2 12" xfId="3" xr:uid="{00000000-0005-0000-0000-000005000000}"/>
    <cellStyle name="Normal 2 2" xfId="7" xr:uid="{5573AF5A-AAAD-4475-AA2A-3AFA78559904}"/>
    <cellStyle name="Normal 3" xfId="6" xr:uid="{00000000-0005-0000-0000-000006000000}"/>
    <cellStyle name="Normal 4" xfId="1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450148101667223E-2"/>
          <c:y val="0.16658287906319405"/>
          <c:w val="0.9112709392338616"/>
          <c:h val="0.83337078006949539"/>
        </c:manualLayout>
      </c:layout>
      <c:lineChart>
        <c:grouping val="standard"/>
        <c:varyColors val="0"/>
        <c:ser>
          <c:idx val="0"/>
          <c:order val="0"/>
          <c:tx>
            <c:strRef>
              <c:f>'[1]Kurva Eksternal mingguan'!$I$123:$N$123</c:f>
              <c:strCache>
                <c:ptCount val="1"/>
                <c:pt idx="0">
                  <c:v>0 0 0 0 0 0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triangle"/>
            <c:size val="7"/>
            <c:spPr>
              <a:solidFill>
                <a:schemeClr val="tx1"/>
              </a:solidFill>
            </c:spPr>
          </c:marker>
          <c:val>
            <c:numRef>
              <c:f>'[1]Kurva Eksternal mingguan'!$O$123:$DV$123</c:f>
              <c:numCache>
                <c:formatCode>General</c:formatCode>
                <c:ptCount val="112"/>
                <c:pt idx="0">
                  <c:v>0</c:v>
                </c:pt>
                <c:pt idx="1">
                  <c:v>6.2469514886200159E-2</c:v>
                </c:pt>
                <c:pt idx="2">
                  <c:v>0.12493902977240032</c:v>
                </c:pt>
                <c:pt idx="3">
                  <c:v>0.18740854465860046</c:v>
                </c:pt>
                <c:pt idx="4">
                  <c:v>0.24987805954480063</c:v>
                </c:pt>
                <c:pt idx="5">
                  <c:v>0.32828328479128721</c:v>
                </c:pt>
                <c:pt idx="6">
                  <c:v>0.40668851003777379</c:v>
                </c:pt>
                <c:pt idx="7">
                  <c:v>0.48509373528426036</c:v>
                </c:pt>
                <c:pt idx="8">
                  <c:v>0.56349896053074688</c:v>
                </c:pt>
                <c:pt idx="9">
                  <c:v>0.62719245070841023</c:v>
                </c:pt>
                <c:pt idx="10">
                  <c:v>0.69088594088607358</c:v>
                </c:pt>
                <c:pt idx="11">
                  <c:v>0.75457943106373693</c:v>
                </c:pt>
                <c:pt idx="12">
                  <c:v>0.81943787434735871</c:v>
                </c:pt>
                <c:pt idx="13">
                  <c:v>2.6658753194756897</c:v>
                </c:pt>
                <c:pt idx="14">
                  <c:v>3.9586737429956873</c:v>
                </c:pt>
                <c:pt idx="15">
                  <c:v>5.2514721665156845</c:v>
                </c:pt>
                <c:pt idx="16">
                  <c:v>6.5442705900356817</c:v>
                </c:pt>
                <c:pt idx="17">
                  <c:v>8.0627718586662969</c:v>
                </c:pt>
                <c:pt idx="18">
                  <c:v>9.5812731272969121</c:v>
                </c:pt>
                <c:pt idx="19">
                  <c:v>11.099774395927527</c:v>
                </c:pt>
                <c:pt idx="20">
                  <c:v>13.26864447692817</c:v>
                </c:pt>
                <c:pt idx="21">
                  <c:v>14.348425377424235</c:v>
                </c:pt>
                <c:pt idx="22">
                  <c:v>15.293458567218783</c:v>
                </c:pt>
                <c:pt idx="23">
                  <c:v>16.238491757013332</c:v>
                </c:pt>
                <c:pt idx="24">
                  <c:v>17.048777236106364</c:v>
                </c:pt>
                <c:pt idx="25">
                  <c:v>18.346764854364498</c:v>
                </c:pt>
                <c:pt idx="26">
                  <c:v>19.173411235032013</c:v>
                </c:pt>
                <c:pt idx="27">
                  <c:v>20.000057615699529</c:v>
                </c:pt>
                <c:pt idx="28">
                  <c:v>20.708868686969392</c:v>
                </c:pt>
                <c:pt idx="29">
                  <c:v>21.622416764185036</c:v>
                </c:pt>
                <c:pt idx="30">
                  <c:v>22.535964841400681</c:v>
                </c:pt>
                <c:pt idx="31">
                  <c:v>23.449512918616325</c:v>
                </c:pt>
                <c:pt idx="32">
                  <c:v>24.623560670783881</c:v>
                </c:pt>
                <c:pt idx="33">
                  <c:v>25.096869712869506</c:v>
                </c:pt>
                <c:pt idx="34">
                  <c:v>25.758782685835804</c:v>
                </c:pt>
                <c:pt idx="35">
                  <c:v>26.420695658802103</c:v>
                </c:pt>
                <c:pt idx="36">
                  <c:v>27.459816493529747</c:v>
                </c:pt>
                <c:pt idx="37">
                  <c:v>27.8684716800426</c:v>
                </c:pt>
                <c:pt idx="38">
                  <c:v>28.265825311787982</c:v>
                </c:pt>
                <c:pt idx="39">
                  <c:v>28.663178943533364</c:v>
                </c:pt>
                <c:pt idx="40">
                  <c:v>28.82319992516188</c:v>
                </c:pt>
                <c:pt idx="41">
                  <c:v>29.546606601221789</c:v>
                </c:pt>
                <c:pt idx="42">
                  <c:v>31.124625668920803</c:v>
                </c:pt>
                <c:pt idx="43">
                  <c:v>32.717067749054735</c:v>
                </c:pt>
                <c:pt idx="44">
                  <c:v>34.588852019397521</c:v>
                </c:pt>
                <c:pt idx="45">
                  <c:v>37.030574495700186</c:v>
                </c:pt>
                <c:pt idx="46">
                  <c:v>38.669038067434983</c:v>
                </c:pt>
                <c:pt idx="47">
                  <c:v>40.307501639169779</c:v>
                </c:pt>
                <c:pt idx="48">
                  <c:v>41.32593554631152</c:v>
                </c:pt>
                <c:pt idx="49">
                  <c:v>42.606726873565492</c:v>
                </c:pt>
                <c:pt idx="50">
                  <c:v>43.727644186773205</c:v>
                </c:pt>
                <c:pt idx="51">
                  <c:v>44.848561499980917</c:v>
                </c:pt>
                <c:pt idx="52">
                  <c:v>46.129352827234882</c:v>
                </c:pt>
                <c:pt idx="53">
                  <c:v>47.516022237301847</c:v>
                </c:pt>
                <c:pt idx="54">
                  <c:v>48.902691647368812</c:v>
                </c:pt>
                <c:pt idx="55">
                  <c:v>50.289361057435777</c:v>
                </c:pt>
                <c:pt idx="56">
                  <c:v>52.269546265438329</c:v>
                </c:pt>
                <c:pt idx="57">
                  <c:v>53.794557078819508</c:v>
                </c:pt>
                <c:pt idx="58">
                  <c:v>54.862604412651514</c:v>
                </c:pt>
                <c:pt idx="59">
                  <c:v>55.93065174648352</c:v>
                </c:pt>
                <c:pt idx="60">
                  <c:v>56.846377920465805</c:v>
                </c:pt>
                <c:pt idx="61">
                  <c:v>57.554326545580786</c:v>
                </c:pt>
                <c:pt idx="62">
                  <c:v>58.105353079533309</c:v>
                </c:pt>
                <c:pt idx="63">
                  <c:v>58.656379613485832</c:v>
                </c:pt>
                <c:pt idx="64">
                  <c:v>59.285867193019584</c:v>
                </c:pt>
                <c:pt idx="65">
                  <c:v>60.212225642630877</c:v>
                </c:pt>
                <c:pt idx="66">
                  <c:v>61.292677298030057</c:v>
                </c:pt>
                <c:pt idx="67">
                  <c:v>62.373128953429237</c:v>
                </c:pt>
                <c:pt idx="68">
                  <c:v>64.069953431979982</c:v>
                </c:pt>
                <c:pt idx="69">
                  <c:v>65.653656363632606</c:v>
                </c:pt>
                <c:pt idx="70">
                  <c:v>67.237359295285231</c:v>
                </c:pt>
                <c:pt idx="71">
                  <c:v>68.821062226937855</c:v>
                </c:pt>
                <c:pt idx="72">
                  <c:v>70.404765158590479</c:v>
                </c:pt>
                <c:pt idx="73">
                  <c:v>72.385467186520955</c:v>
                </c:pt>
                <c:pt idx="74">
                  <c:v>73.772498370537463</c:v>
                </c:pt>
                <c:pt idx="75">
                  <c:v>75.15952955455397</c:v>
                </c:pt>
                <c:pt idx="76">
                  <c:v>76.546560738570477</c:v>
                </c:pt>
                <c:pt idx="77">
                  <c:v>77.73348915344981</c:v>
                </c:pt>
                <c:pt idx="78">
                  <c:v>79.117939101661719</c:v>
                </c:pt>
                <c:pt idx="79">
                  <c:v>80.502389049873628</c:v>
                </c:pt>
                <c:pt idx="80">
                  <c:v>82.479403598083238</c:v>
                </c:pt>
                <c:pt idx="81">
                  <c:v>84.049075251845494</c:v>
                </c:pt>
                <c:pt idx="82">
                  <c:v>84.965466722741795</c:v>
                </c:pt>
                <c:pt idx="83">
                  <c:v>85.881858193638095</c:v>
                </c:pt>
                <c:pt idx="84">
                  <c:v>86.536937591388011</c:v>
                </c:pt>
                <c:pt idx="85">
                  <c:v>87.416592322925055</c:v>
                </c:pt>
                <c:pt idx="86">
                  <c:v>88.254653120951275</c:v>
                </c:pt>
                <c:pt idx="87">
                  <c:v>88.523965309341989</c:v>
                </c:pt>
                <c:pt idx="88">
                  <c:v>88.831493636805106</c:v>
                </c:pt>
                <c:pt idx="89">
                  <c:v>89.625267318577855</c:v>
                </c:pt>
                <c:pt idx="90">
                  <c:v>90.551036744832075</c:v>
                </c:pt>
                <c:pt idx="91">
                  <c:v>91.476806171086295</c:v>
                </c:pt>
                <c:pt idx="92">
                  <c:v>92.798562830784917</c:v>
                </c:pt>
                <c:pt idx="93">
                  <c:v>93.868858717105553</c:v>
                </c:pt>
                <c:pt idx="94">
                  <c:v>94.550610359267395</c:v>
                </c:pt>
                <c:pt idx="95">
                  <c:v>95.232362001429237</c:v>
                </c:pt>
                <c:pt idx="96">
                  <c:v>95.816977582551374</c:v>
                </c:pt>
                <c:pt idx="97">
                  <c:v>96.237125945760255</c:v>
                </c:pt>
                <c:pt idx="98">
                  <c:v>96.657274308969136</c:v>
                </c:pt>
                <c:pt idx="99">
                  <c:v>97.077422672178017</c:v>
                </c:pt>
                <c:pt idx="100">
                  <c:v>97.617099363479738</c:v>
                </c:pt>
                <c:pt idx="101">
                  <c:v>97.889450291559641</c:v>
                </c:pt>
                <c:pt idx="102">
                  <c:v>98.246021414319316</c:v>
                </c:pt>
                <c:pt idx="103">
                  <c:v>98.602592537078991</c:v>
                </c:pt>
                <c:pt idx="104">
                  <c:v>99.127604049198212</c:v>
                </c:pt>
                <c:pt idx="105">
                  <c:v>99.340917580183344</c:v>
                </c:pt>
                <c:pt idx="106">
                  <c:v>99.520561535700764</c:v>
                </c:pt>
                <c:pt idx="107">
                  <c:v>99.700205491218185</c:v>
                </c:pt>
                <c:pt idx="108">
                  <c:v>99.879849446735605</c:v>
                </c:pt>
                <c:pt idx="109">
                  <c:v>99.919850264399969</c:v>
                </c:pt>
                <c:pt idx="110">
                  <c:v>99.959851082064333</c:v>
                </c:pt>
                <c:pt idx="111">
                  <c:v>99.999851899728696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70-4B0A-8FE0-68B2E1C6E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446160"/>
        <c:axId val="422448120"/>
      </c:lineChart>
      <c:catAx>
        <c:axId val="422446160"/>
        <c:scaling>
          <c:orientation val="minMax"/>
        </c:scaling>
        <c:delete val="1"/>
        <c:axPos val="b"/>
        <c:majorTickMark val="out"/>
        <c:minorTickMark val="none"/>
        <c:tickLblPos val="nextTo"/>
        <c:crossAx val="422448120"/>
        <c:crosses val="autoZero"/>
        <c:auto val="1"/>
        <c:lblAlgn val="ctr"/>
        <c:lblOffset val="100"/>
        <c:noMultiLvlLbl val="0"/>
      </c:catAx>
      <c:valAx>
        <c:axId val="42244812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224461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0</xdr:row>
      <xdr:rowOff>0</xdr:rowOff>
    </xdr:from>
    <xdr:to>
      <xdr:col>20</xdr:col>
      <xdr:colOff>0</xdr:colOff>
      <xdr:row>54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4</xdr:col>
      <xdr:colOff>1375743</xdr:colOff>
      <xdr:row>77</xdr:row>
      <xdr:rowOff>90300</xdr:rowOff>
    </xdr:from>
    <xdr:to>
      <xdr:col>9</xdr:col>
      <xdr:colOff>0</xdr:colOff>
      <xdr:row>86</xdr:row>
      <xdr:rowOff>190500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42643" y="28802460"/>
          <a:ext cx="54382567" cy="1662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myac-my.sharepoint.com/Asisten%20Mankon%202019-2020/Praktikum%20Manajemen%20Konstruksi%20Genap%202018/S-CURVE%20EKSTER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urva Eksternal Bulanan"/>
      <sheetName val="Kurva Eksternal mingguan"/>
    </sheetNames>
    <sheetDataSet>
      <sheetData sheetId="0"/>
      <sheetData sheetId="1">
        <row r="123"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6.2469514886200159E-2</v>
          </cell>
          <cell r="Q123">
            <v>0.12493902977240032</v>
          </cell>
          <cell r="R123">
            <v>0.18740854465860046</v>
          </cell>
          <cell r="S123">
            <v>0.24987805954480063</v>
          </cell>
          <cell r="T123">
            <v>0.32828328479128721</v>
          </cell>
          <cell r="U123">
            <v>0.40668851003777379</v>
          </cell>
          <cell r="V123">
            <v>0.48509373528426036</v>
          </cell>
          <cell r="W123">
            <v>0.56349896053074688</v>
          </cell>
          <cell r="X123">
            <v>0.62719245070841023</v>
          </cell>
          <cell r="Y123">
            <v>0.69088594088607358</v>
          </cell>
          <cell r="Z123">
            <v>0.75457943106373693</v>
          </cell>
          <cell r="AA123">
            <v>0.81943787434735871</v>
          </cell>
          <cell r="AB123">
            <v>2.6658753194756897</v>
          </cell>
          <cell r="AC123">
            <v>3.9586737429956873</v>
          </cell>
          <cell r="AD123">
            <v>5.2514721665156845</v>
          </cell>
          <cell r="AE123">
            <v>6.5442705900356817</v>
          </cell>
          <cell r="AF123">
            <v>8.0627718586662969</v>
          </cell>
          <cell r="AG123">
            <v>9.5812731272969121</v>
          </cell>
          <cell r="AH123">
            <v>11.099774395927527</v>
          </cell>
          <cell r="AI123">
            <v>13.26864447692817</v>
          </cell>
          <cell r="AJ123">
            <v>14.348425377424235</v>
          </cell>
          <cell r="AK123">
            <v>15.293458567218783</v>
          </cell>
          <cell r="AL123">
            <v>16.238491757013332</v>
          </cell>
          <cell r="AM123">
            <v>17.048777236106364</v>
          </cell>
          <cell r="AN123">
            <v>18.346764854364498</v>
          </cell>
          <cell r="AO123">
            <v>19.173411235032013</v>
          </cell>
          <cell r="AP123">
            <v>20.000057615699529</v>
          </cell>
          <cell r="AQ123">
            <v>20.708868686969392</v>
          </cell>
          <cell r="AR123">
            <v>21.622416764185036</v>
          </cell>
          <cell r="AS123">
            <v>22.535964841400681</v>
          </cell>
          <cell r="AT123">
            <v>23.449512918616325</v>
          </cell>
          <cell r="AU123">
            <v>24.623560670783881</v>
          </cell>
          <cell r="AV123">
            <v>25.096869712869506</v>
          </cell>
          <cell r="AW123">
            <v>25.758782685835804</v>
          </cell>
          <cell r="AX123">
            <v>26.420695658802103</v>
          </cell>
          <cell r="AY123">
            <v>27.459816493529747</v>
          </cell>
          <cell r="AZ123">
            <v>27.8684716800426</v>
          </cell>
          <cell r="BA123">
            <v>28.265825311787982</v>
          </cell>
          <cell r="BB123">
            <v>28.663178943533364</v>
          </cell>
          <cell r="BC123">
            <v>28.82319992516188</v>
          </cell>
          <cell r="BD123">
            <v>29.546606601221789</v>
          </cell>
          <cell r="BE123">
            <v>31.124625668920803</v>
          </cell>
          <cell r="BF123">
            <v>32.717067749054735</v>
          </cell>
          <cell r="BG123">
            <v>34.588852019397521</v>
          </cell>
          <cell r="BH123">
            <v>37.030574495700186</v>
          </cell>
          <cell r="BI123">
            <v>38.669038067434983</v>
          </cell>
          <cell r="BJ123">
            <v>40.307501639169779</v>
          </cell>
          <cell r="BK123">
            <v>41.32593554631152</v>
          </cell>
          <cell r="BL123">
            <v>42.606726873565492</v>
          </cell>
          <cell r="BM123">
            <v>43.727644186773205</v>
          </cell>
          <cell r="BN123">
            <v>44.848561499980917</v>
          </cell>
          <cell r="BO123">
            <v>46.129352827234882</v>
          </cell>
          <cell r="BP123">
            <v>47.516022237301847</v>
          </cell>
          <cell r="BQ123">
            <v>48.902691647368812</v>
          </cell>
          <cell r="BR123">
            <v>50.289361057435777</v>
          </cell>
          <cell r="BS123">
            <v>52.269546265438329</v>
          </cell>
          <cell r="BT123">
            <v>53.794557078819508</v>
          </cell>
          <cell r="BU123">
            <v>54.862604412651514</v>
          </cell>
          <cell r="BV123">
            <v>55.93065174648352</v>
          </cell>
          <cell r="BW123">
            <v>56.846377920465805</v>
          </cell>
          <cell r="BX123">
            <v>57.554326545580786</v>
          </cell>
          <cell r="BY123">
            <v>58.105353079533309</v>
          </cell>
          <cell r="BZ123">
            <v>58.656379613485832</v>
          </cell>
          <cell r="CA123">
            <v>59.285867193019584</v>
          </cell>
          <cell r="CB123">
            <v>60.212225642630877</v>
          </cell>
          <cell r="CC123">
            <v>61.292677298030057</v>
          </cell>
          <cell r="CD123">
            <v>62.373128953429237</v>
          </cell>
          <cell r="CE123">
            <v>64.069953431979982</v>
          </cell>
          <cell r="CF123">
            <v>65.653656363632606</v>
          </cell>
          <cell r="CG123">
            <v>67.237359295285231</v>
          </cell>
          <cell r="CH123">
            <v>68.821062226937855</v>
          </cell>
          <cell r="CI123">
            <v>70.404765158590479</v>
          </cell>
          <cell r="CJ123">
            <v>72.385467186520955</v>
          </cell>
          <cell r="CK123">
            <v>73.772498370537463</v>
          </cell>
          <cell r="CL123">
            <v>75.15952955455397</v>
          </cell>
          <cell r="CM123">
            <v>76.546560738570477</v>
          </cell>
          <cell r="CN123">
            <v>77.73348915344981</v>
          </cell>
          <cell r="CO123">
            <v>79.117939101661719</v>
          </cell>
          <cell r="CP123">
            <v>80.502389049873628</v>
          </cell>
          <cell r="CQ123">
            <v>82.479403598083238</v>
          </cell>
          <cell r="CR123">
            <v>84.049075251845494</v>
          </cell>
          <cell r="CS123">
            <v>84.965466722741795</v>
          </cell>
          <cell r="CT123">
            <v>85.881858193638095</v>
          </cell>
          <cell r="CU123">
            <v>86.536937591388011</v>
          </cell>
          <cell r="CV123">
            <v>87.416592322925055</v>
          </cell>
          <cell r="CW123">
            <v>88.254653120951275</v>
          </cell>
          <cell r="CX123">
            <v>88.523965309341989</v>
          </cell>
          <cell r="CY123">
            <v>88.831493636805106</v>
          </cell>
          <cell r="CZ123">
            <v>89.625267318577855</v>
          </cell>
          <cell r="DA123">
            <v>90.551036744832075</v>
          </cell>
          <cell r="DB123">
            <v>91.476806171086295</v>
          </cell>
          <cell r="DC123">
            <v>92.798562830784917</v>
          </cell>
          <cell r="DD123">
            <v>93.868858717105553</v>
          </cell>
          <cell r="DE123">
            <v>94.550610359267395</v>
          </cell>
          <cell r="DF123">
            <v>95.232362001429237</v>
          </cell>
          <cell r="DG123">
            <v>95.816977582551374</v>
          </cell>
          <cell r="DH123">
            <v>96.237125945760255</v>
          </cell>
          <cell r="DI123">
            <v>96.657274308969136</v>
          </cell>
          <cell r="DJ123">
            <v>97.077422672178017</v>
          </cell>
          <cell r="DK123">
            <v>97.617099363479738</v>
          </cell>
          <cell r="DL123">
            <v>97.889450291559641</v>
          </cell>
          <cell r="DM123">
            <v>98.246021414319316</v>
          </cell>
          <cell r="DN123">
            <v>98.602592537078991</v>
          </cell>
          <cell r="DO123">
            <v>99.127604049198212</v>
          </cell>
          <cell r="DP123">
            <v>99.340917580183344</v>
          </cell>
          <cell r="DQ123">
            <v>99.520561535700764</v>
          </cell>
          <cell r="DR123">
            <v>99.700205491218185</v>
          </cell>
          <cell r="DS123">
            <v>99.879849446735605</v>
          </cell>
          <cell r="DT123">
            <v>99.919850264399969</v>
          </cell>
          <cell r="DU123">
            <v>99.959851082064333</v>
          </cell>
          <cell r="DV123">
            <v>99.999851899728696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I62"/>
  <sheetViews>
    <sheetView tabSelected="1" zoomScale="55" zoomScaleNormal="115" workbookViewId="0">
      <selection activeCell="L23" sqref="L23"/>
    </sheetView>
  </sheetViews>
  <sheetFormatPr defaultColWidth="9.109375" defaultRowHeight="15.6" x14ac:dyDescent="0.3"/>
  <cols>
    <col min="1" max="1" width="4.21875" style="1" bestFit="1" customWidth="1"/>
    <col min="2" max="2" width="4.21875" style="1" customWidth="1"/>
    <col min="3" max="3" width="3.88671875" style="1" bestFit="1" customWidth="1"/>
    <col min="4" max="4" width="2.6640625" style="1" bestFit="1" customWidth="1"/>
    <col min="5" max="5" width="80.6640625" style="1" bestFit="1" customWidth="1"/>
    <col min="6" max="6" width="15.44140625" style="1" bestFit="1" customWidth="1"/>
    <col min="7" max="7" width="7.21875" style="1" bestFit="1" customWidth="1"/>
    <col min="8" max="8" width="21.109375" style="1" bestFit="1" customWidth="1"/>
    <col min="9" max="9" width="27" style="1" bestFit="1" customWidth="1"/>
    <col min="10" max="16384" width="9.109375" style="1"/>
  </cols>
  <sheetData>
    <row r="7" spans="2:9" ht="16.2" thickBot="1" x14ac:dyDescent="0.35"/>
    <row r="8" spans="2:9" ht="14.4" customHeight="1" x14ac:dyDescent="0.3">
      <c r="B8" s="52" t="s">
        <v>48</v>
      </c>
      <c r="C8" s="52"/>
      <c r="D8" s="46" t="s">
        <v>49</v>
      </c>
      <c r="E8" s="47"/>
      <c r="F8" s="53" t="s">
        <v>51</v>
      </c>
      <c r="G8" s="44" t="s">
        <v>50</v>
      </c>
      <c r="H8" s="37" t="s">
        <v>54</v>
      </c>
      <c r="I8" s="37"/>
    </row>
    <row r="9" spans="2:9" s="2" customFormat="1" x14ac:dyDescent="0.3">
      <c r="B9" s="52"/>
      <c r="C9" s="52"/>
      <c r="D9" s="48"/>
      <c r="E9" s="49"/>
      <c r="F9" s="54"/>
      <c r="G9" s="45"/>
      <c r="H9" s="3" t="s">
        <v>51</v>
      </c>
      <c r="I9" s="3" t="s">
        <v>52</v>
      </c>
    </row>
    <row r="10" spans="2:9" s="2" customFormat="1" ht="16.2" thickBot="1" x14ac:dyDescent="0.35">
      <c r="B10" s="39">
        <v>1</v>
      </c>
      <c r="C10" s="39"/>
      <c r="D10" s="50" t="s">
        <v>53</v>
      </c>
      <c r="E10" s="51"/>
      <c r="F10" s="5"/>
      <c r="G10" s="4"/>
      <c r="H10" s="4"/>
      <c r="I10" s="4"/>
    </row>
    <row r="11" spans="2:9" x14ac:dyDescent="0.3">
      <c r="B11" s="39">
        <v>2</v>
      </c>
      <c r="C11" s="39"/>
      <c r="D11" s="6"/>
      <c r="E11" s="7" t="s">
        <v>32</v>
      </c>
      <c r="F11" s="9"/>
      <c r="G11" s="8"/>
      <c r="H11" s="10"/>
      <c r="I11" s="10"/>
    </row>
    <row r="12" spans="2:9" x14ac:dyDescent="0.3">
      <c r="B12" s="39">
        <v>3</v>
      </c>
      <c r="C12" s="39"/>
      <c r="D12" s="11">
        <v>1</v>
      </c>
      <c r="E12" s="12" t="s">
        <v>33</v>
      </c>
      <c r="F12" s="14">
        <v>1</v>
      </c>
      <c r="G12" s="13" t="s">
        <v>0</v>
      </c>
      <c r="H12" s="15">
        <v>17000000</v>
      </c>
      <c r="I12" s="15">
        <f>F12*H12</f>
        <v>17000000</v>
      </c>
    </row>
    <row r="13" spans="2:9" x14ac:dyDescent="0.3">
      <c r="B13" s="39">
        <v>4</v>
      </c>
      <c r="C13" s="39"/>
      <c r="D13" s="11">
        <v>2</v>
      </c>
      <c r="E13" s="12" t="s">
        <v>42</v>
      </c>
      <c r="F13" s="14">
        <v>1</v>
      </c>
      <c r="G13" s="13" t="s">
        <v>0</v>
      </c>
      <c r="H13" s="15">
        <v>2475000000</v>
      </c>
      <c r="I13" s="15">
        <f t="shared" ref="I13:I47" si="0">F13*H13</f>
        <v>2475000000</v>
      </c>
    </row>
    <row r="14" spans="2:9" x14ac:dyDescent="0.3">
      <c r="B14" s="39">
        <v>5</v>
      </c>
      <c r="C14" s="39"/>
      <c r="D14" s="11">
        <v>3</v>
      </c>
      <c r="E14" s="16" t="s">
        <v>1</v>
      </c>
      <c r="F14" s="18">
        <v>1</v>
      </c>
      <c r="G14" s="17" t="s">
        <v>0</v>
      </c>
      <c r="H14" s="19">
        <v>263690000</v>
      </c>
      <c r="I14" s="15">
        <f t="shared" si="0"/>
        <v>263690000</v>
      </c>
    </row>
    <row r="15" spans="2:9" ht="14.1" customHeight="1" x14ac:dyDescent="0.3">
      <c r="B15" s="39">
        <v>6</v>
      </c>
      <c r="C15" s="39"/>
      <c r="D15" s="11">
        <v>4</v>
      </c>
      <c r="E15" s="16" t="s">
        <v>2</v>
      </c>
      <c r="F15" s="18">
        <v>320</v>
      </c>
      <c r="G15" s="17" t="s">
        <v>3</v>
      </c>
      <c r="H15" s="19">
        <v>856166.66666666663</v>
      </c>
      <c r="I15" s="15">
        <f t="shared" si="0"/>
        <v>273973333.33333331</v>
      </c>
    </row>
    <row r="16" spans="2:9" x14ac:dyDescent="0.3">
      <c r="B16" s="39">
        <v>7</v>
      </c>
      <c r="C16" s="39"/>
      <c r="D16" s="11">
        <v>5</v>
      </c>
      <c r="E16" s="16" t="s">
        <v>4</v>
      </c>
      <c r="F16" s="18">
        <v>120</v>
      </c>
      <c r="G16" s="17" t="s">
        <v>3</v>
      </c>
      <c r="H16" s="19">
        <v>1009250</v>
      </c>
      <c r="I16" s="15">
        <f t="shared" si="0"/>
        <v>121110000</v>
      </c>
    </row>
    <row r="17" spans="2:9" x14ac:dyDescent="0.3">
      <c r="B17" s="39">
        <v>8</v>
      </c>
      <c r="C17" s="39"/>
      <c r="D17" s="11">
        <v>6</v>
      </c>
      <c r="E17" s="16" t="s">
        <v>44</v>
      </c>
      <c r="F17" s="18">
        <v>1</v>
      </c>
      <c r="G17" s="17" t="s">
        <v>0</v>
      </c>
      <c r="H17" s="19">
        <v>132000000</v>
      </c>
      <c r="I17" s="15">
        <f t="shared" si="0"/>
        <v>132000000</v>
      </c>
    </row>
    <row r="18" spans="2:9" x14ac:dyDescent="0.3">
      <c r="B18" s="39">
        <v>9</v>
      </c>
      <c r="C18" s="39"/>
      <c r="D18" s="20"/>
      <c r="E18" s="21" t="s">
        <v>34</v>
      </c>
      <c r="F18" s="23"/>
      <c r="G18" s="22"/>
      <c r="H18" s="24"/>
      <c r="I18" s="24"/>
    </row>
    <row r="19" spans="2:9" x14ac:dyDescent="0.3">
      <c r="B19" s="39">
        <v>10</v>
      </c>
      <c r="C19" s="39"/>
      <c r="D19" s="11">
        <v>1</v>
      </c>
      <c r="E19" s="16" t="s">
        <v>19</v>
      </c>
      <c r="F19" s="18">
        <v>4565.71</v>
      </c>
      <c r="G19" s="17" t="s">
        <v>6</v>
      </c>
      <c r="H19" s="19">
        <v>3012832.526622273</v>
      </c>
      <c r="I19" s="15">
        <f t="shared" si="0"/>
        <v>13755719595.124578</v>
      </c>
    </row>
    <row r="20" spans="2:9" x14ac:dyDescent="0.3">
      <c r="B20" s="39">
        <v>11</v>
      </c>
      <c r="C20" s="39"/>
      <c r="D20" s="11">
        <v>2</v>
      </c>
      <c r="E20" s="16" t="s">
        <v>20</v>
      </c>
      <c r="F20" s="18">
        <v>5186.13</v>
      </c>
      <c r="G20" s="17" t="s">
        <v>6</v>
      </c>
      <c r="H20" s="19">
        <v>4810713.157344725</v>
      </c>
      <c r="I20" s="15">
        <f t="shared" si="0"/>
        <v>24948983826.700199</v>
      </c>
    </row>
    <row r="21" spans="2:9" x14ac:dyDescent="0.3">
      <c r="B21" s="39">
        <v>12</v>
      </c>
      <c r="C21" s="39"/>
      <c r="D21" s="11">
        <v>3</v>
      </c>
      <c r="E21" s="16" t="s">
        <v>45</v>
      </c>
      <c r="F21" s="18">
        <v>24</v>
      </c>
      <c r="G21" s="17" t="s">
        <v>21</v>
      </c>
      <c r="H21" s="19">
        <v>628683665.995</v>
      </c>
      <c r="I21" s="15">
        <f t="shared" si="0"/>
        <v>15088407983.880001</v>
      </c>
    </row>
    <row r="22" spans="2:9" x14ac:dyDescent="0.3">
      <c r="B22" s="39">
        <v>13</v>
      </c>
      <c r="C22" s="39"/>
      <c r="D22" s="11">
        <v>4</v>
      </c>
      <c r="E22" s="16" t="s">
        <v>46</v>
      </c>
      <c r="F22" s="18">
        <v>5880</v>
      </c>
      <c r="G22" s="17" t="s">
        <v>8</v>
      </c>
      <c r="H22" s="19">
        <v>14012.012299999999</v>
      </c>
      <c r="I22" s="15">
        <f t="shared" si="0"/>
        <v>82390632.323999986</v>
      </c>
    </row>
    <row r="23" spans="2:9" ht="15.75" customHeight="1" x14ac:dyDescent="0.3">
      <c r="B23" s="39">
        <v>14</v>
      </c>
      <c r="C23" s="39"/>
      <c r="D23" s="11">
        <v>5</v>
      </c>
      <c r="E23" s="16" t="s">
        <v>22</v>
      </c>
      <c r="F23" s="18">
        <v>1230</v>
      </c>
      <c r="G23" s="17" t="s">
        <v>6</v>
      </c>
      <c r="H23" s="19">
        <v>1090929.9529763046</v>
      </c>
      <c r="I23" s="15">
        <f t="shared" si="0"/>
        <v>1341843842.1608546</v>
      </c>
    </row>
    <row r="24" spans="2:9" x14ac:dyDescent="0.3">
      <c r="B24" s="39">
        <v>15</v>
      </c>
      <c r="C24" s="39"/>
      <c r="D24" s="11">
        <v>6</v>
      </c>
      <c r="E24" s="16" t="s">
        <v>23</v>
      </c>
      <c r="F24" s="18">
        <v>397.9</v>
      </c>
      <c r="G24" s="17" t="s">
        <v>3</v>
      </c>
      <c r="H24" s="19">
        <v>2897973.3914999999</v>
      </c>
      <c r="I24" s="15">
        <f t="shared" si="0"/>
        <v>1153103612.47785</v>
      </c>
    </row>
    <row r="25" spans="2:9" x14ac:dyDescent="0.3">
      <c r="B25" s="39">
        <v>16</v>
      </c>
      <c r="C25" s="39"/>
      <c r="D25" s="11">
        <v>7</v>
      </c>
      <c r="E25" s="16" t="s">
        <v>24</v>
      </c>
      <c r="F25" s="18">
        <v>983</v>
      </c>
      <c r="G25" s="17" t="s">
        <v>3</v>
      </c>
      <c r="H25" s="19">
        <v>902925.826</v>
      </c>
      <c r="I25" s="15">
        <f t="shared" si="0"/>
        <v>887576086.95799994</v>
      </c>
    </row>
    <row r="26" spans="2:9" x14ac:dyDescent="0.3">
      <c r="B26" s="39">
        <v>17</v>
      </c>
      <c r="C26" s="39"/>
      <c r="D26" s="20"/>
      <c r="E26" s="21" t="s">
        <v>35</v>
      </c>
      <c r="F26" s="23"/>
      <c r="G26" s="22"/>
      <c r="H26" s="24"/>
      <c r="I26" s="24"/>
    </row>
    <row r="27" spans="2:9" x14ac:dyDescent="0.3">
      <c r="B27" s="39">
        <v>18</v>
      </c>
      <c r="C27" s="39"/>
      <c r="D27" s="25">
        <v>1</v>
      </c>
      <c r="E27" s="12" t="s">
        <v>5</v>
      </c>
      <c r="F27" s="14">
        <v>720</v>
      </c>
      <c r="G27" s="13" t="s">
        <v>6</v>
      </c>
      <c r="H27" s="15">
        <v>33660.789597118921</v>
      </c>
      <c r="I27" s="15">
        <f t="shared" si="0"/>
        <v>24235768.509925622</v>
      </c>
    </row>
    <row r="28" spans="2:9" x14ac:dyDescent="0.3">
      <c r="B28" s="39">
        <v>19</v>
      </c>
      <c r="C28" s="39"/>
      <c r="D28" s="11">
        <v>2</v>
      </c>
      <c r="E28" s="16" t="s">
        <v>47</v>
      </c>
      <c r="F28" s="18">
        <v>675</v>
      </c>
      <c r="G28" s="17" t="s">
        <v>7</v>
      </c>
      <c r="H28" s="19">
        <v>1238499.3105068493</v>
      </c>
      <c r="I28" s="15">
        <f t="shared" si="0"/>
        <v>835987034.59212327</v>
      </c>
    </row>
    <row r="29" spans="2:9" x14ac:dyDescent="0.3">
      <c r="B29" s="39">
        <v>20</v>
      </c>
      <c r="C29" s="39"/>
      <c r="D29" s="20"/>
      <c r="E29" s="21" t="s">
        <v>36</v>
      </c>
      <c r="F29" s="23"/>
      <c r="G29" s="22"/>
      <c r="H29" s="24"/>
      <c r="I29" s="24"/>
    </row>
    <row r="30" spans="2:9" x14ac:dyDescent="0.3">
      <c r="B30" s="39">
        <v>21</v>
      </c>
      <c r="C30" s="39"/>
      <c r="D30" s="11">
        <v>1</v>
      </c>
      <c r="E30" s="16" t="s">
        <v>11</v>
      </c>
      <c r="F30" s="18">
        <v>16000</v>
      </c>
      <c r="G30" s="17" t="s">
        <v>12</v>
      </c>
      <c r="H30" s="19">
        <v>15121.303779630582</v>
      </c>
      <c r="I30" s="15">
        <f t="shared" si="0"/>
        <v>241940860.47408929</v>
      </c>
    </row>
    <row r="31" spans="2:9" x14ac:dyDescent="0.3">
      <c r="B31" s="39">
        <v>22</v>
      </c>
      <c r="C31" s="39"/>
      <c r="D31" s="11">
        <v>2</v>
      </c>
      <c r="E31" s="16" t="s">
        <v>9</v>
      </c>
      <c r="F31" s="18">
        <v>40000</v>
      </c>
      <c r="G31" s="17" t="s">
        <v>6</v>
      </c>
      <c r="H31" s="19">
        <v>29763.687650896645</v>
      </c>
      <c r="I31" s="15">
        <f t="shared" si="0"/>
        <v>1190547506.0358658</v>
      </c>
    </row>
    <row r="32" spans="2:9" x14ac:dyDescent="0.3">
      <c r="B32" s="39">
        <v>23</v>
      </c>
      <c r="C32" s="39"/>
      <c r="D32" s="11">
        <v>3</v>
      </c>
      <c r="E32" s="16" t="s">
        <v>10</v>
      </c>
      <c r="F32" s="18">
        <v>67393.87</v>
      </c>
      <c r="G32" s="17" t="s">
        <v>6</v>
      </c>
      <c r="H32" s="19">
        <v>45399.923195385076</v>
      </c>
      <c r="I32" s="15">
        <f t="shared" si="0"/>
        <v>3059676521.839766</v>
      </c>
    </row>
    <row r="33" spans="2:9" x14ac:dyDescent="0.3">
      <c r="B33" s="39">
        <v>24</v>
      </c>
      <c r="C33" s="39"/>
      <c r="D33" s="20"/>
      <c r="E33" s="21" t="s">
        <v>37</v>
      </c>
      <c r="F33" s="23"/>
      <c r="G33" s="22"/>
      <c r="H33" s="24"/>
      <c r="I33" s="24"/>
    </row>
    <row r="34" spans="2:9" x14ac:dyDescent="0.3">
      <c r="B34" s="39">
        <v>25</v>
      </c>
      <c r="C34" s="39"/>
      <c r="D34" s="11">
        <v>1</v>
      </c>
      <c r="E34" s="16" t="s">
        <v>13</v>
      </c>
      <c r="F34" s="18">
        <v>5250</v>
      </c>
      <c r="G34" s="17" t="s">
        <v>6</v>
      </c>
      <c r="H34" s="19">
        <v>669133.30075912317</v>
      </c>
      <c r="I34" s="15">
        <f t="shared" si="0"/>
        <v>3512949828.9853969</v>
      </c>
    </row>
    <row r="35" spans="2:9" x14ac:dyDescent="0.3">
      <c r="B35" s="39">
        <v>26</v>
      </c>
      <c r="C35" s="39"/>
      <c r="D35" s="11">
        <v>2</v>
      </c>
      <c r="E35" s="16" t="s">
        <v>38</v>
      </c>
      <c r="F35" s="18">
        <v>5250</v>
      </c>
      <c r="G35" s="17" t="s">
        <v>6</v>
      </c>
      <c r="H35" s="19">
        <v>2656530.5096218972</v>
      </c>
      <c r="I35" s="15">
        <f t="shared" si="0"/>
        <v>13946785175.514961</v>
      </c>
    </row>
    <row r="36" spans="2:9" x14ac:dyDescent="0.3">
      <c r="B36" s="39">
        <v>27</v>
      </c>
      <c r="C36" s="39"/>
      <c r="D36" s="11">
        <v>3</v>
      </c>
      <c r="E36" s="16" t="s">
        <v>39</v>
      </c>
      <c r="F36" s="18">
        <v>1675.4</v>
      </c>
      <c r="G36" s="17" t="s">
        <v>6</v>
      </c>
      <c r="H36" s="19">
        <v>1664473.1305386745</v>
      </c>
      <c r="I36" s="15">
        <f t="shared" si="0"/>
        <v>2788658282.9044952</v>
      </c>
    </row>
    <row r="37" spans="2:9" x14ac:dyDescent="0.3">
      <c r="B37" s="39">
        <v>28</v>
      </c>
      <c r="C37" s="39"/>
      <c r="D37" s="20"/>
      <c r="E37" s="21" t="s">
        <v>40</v>
      </c>
      <c r="F37" s="23"/>
      <c r="G37" s="22"/>
      <c r="H37" s="24"/>
      <c r="I37" s="24"/>
    </row>
    <row r="38" spans="2:9" x14ac:dyDescent="0.3">
      <c r="B38" s="39">
        <v>29</v>
      </c>
      <c r="C38" s="39"/>
      <c r="D38" s="11">
        <v>1</v>
      </c>
      <c r="E38" s="16" t="s">
        <v>14</v>
      </c>
      <c r="F38" s="18">
        <v>675.68</v>
      </c>
      <c r="G38" s="17" t="s">
        <v>15</v>
      </c>
      <c r="H38" s="19">
        <v>18247.447688102624</v>
      </c>
      <c r="I38" s="15">
        <f t="shared" si="0"/>
        <v>12329435.45389718</v>
      </c>
    </row>
    <row r="39" spans="2:9" x14ac:dyDescent="0.3">
      <c r="B39" s="39">
        <v>30</v>
      </c>
      <c r="C39" s="39"/>
      <c r="D39" s="11">
        <v>2</v>
      </c>
      <c r="E39" s="16" t="s">
        <v>16</v>
      </c>
      <c r="F39" s="18">
        <v>522.53</v>
      </c>
      <c r="G39" s="17" t="s">
        <v>17</v>
      </c>
      <c r="H39" s="19">
        <v>1624785.5925580366</v>
      </c>
      <c r="I39" s="15">
        <f t="shared" si="0"/>
        <v>848999215.67935085</v>
      </c>
    </row>
    <row r="40" spans="2:9" x14ac:dyDescent="0.3">
      <c r="B40" s="39">
        <v>31</v>
      </c>
      <c r="C40" s="39"/>
      <c r="D40" s="11">
        <v>3</v>
      </c>
      <c r="E40" s="16" t="s">
        <v>18</v>
      </c>
      <c r="F40" s="18">
        <v>94.06</v>
      </c>
      <c r="G40" s="17" t="s">
        <v>8</v>
      </c>
      <c r="H40" s="19">
        <v>114904</v>
      </c>
      <c r="I40" s="15">
        <f t="shared" si="0"/>
        <v>10807870.24</v>
      </c>
    </row>
    <row r="41" spans="2:9" x14ac:dyDescent="0.3">
      <c r="B41" s="39">
        <v>32</v>
      </c>
      <c r="C41" s="39"/>
      <c r="D41" s="20"/>
      <c r="E41" s="21" t="s">
        <v>41</v>
      </c>
      <c r="F41" s="23"/>
      <c r="G41" s="22"/>
      <c r="H41" s="24"/>
      <c r="I41" s="24"/>
    </row>
    <row r="42" spans="2:9" x14ac:dyDescent="0.3">
      <c r="B42" s="39">
        <v>33</v>
      </c>
      <c r="C42" s="39"/>
      <c r="D42" s="11">
        <v>1</v>
      </c>
      <c r="E42" s="16" t="s">
        <v>25</v>
      </c>
      <c r="F42" s="18">
        <v>299.66000000000003</v>
      </c>
      <c r="G42" s="17" t="s">
        <v>12</v>
      </c>
      <c r="H42" s="19">
        <v>209039.15687822187</v>
      </c>
      <c r="I42" s="15">
        <f t="shared" si="0"/>
        <v>62640673.750127971</v>
      </c>
    </row>
    <row r="43" spans="2:9" x14ac:dyDescent="0.3">
      <c r="B43" s="39">
        <v>34</v>
      </c>
      <c r="C43" s="39"/>
      <c r="D43" s="11">
        <v>2</v>
      </c>
      <c r="E43" s="16" t="s">
        <v>26</v>
      </c>
      <c r="F43" s="18">
        <v>29</v>
      </c>
      <c r="G43" s="26" t="s">
        <v>21</v>
      </c>
      <c r="H43" s="19">
        <v>3411075.4729106771</v>
      </c>
      <c r="I43" s="15">
        <f t="shared" si="0"/>
        <v>98921188.714409634</v>
      </c>
    </row>
    <row r="44" spans="2:9" ht="15" customHeight="1" x14ac:dyDescent="0.3">
      <c r="B44" s="39">
        <v>35</v>
      </c>
      <c r="C44" s="39"/>
      <c r="D44" s="11">
        <v>3</v>
      </c>
      <c r="E44" s="16" t="s">
        <v>27</v>
      </c>
      <c r="F44" s="18">
        <v>300</v>
      </c>
      <c r="G44" s="26" t="s">
        <v>21</v>
      </c>
      <c r="H44" s="19">
        <v>536493.86888419511</v>
      </c>
      <c r="I44" s="15">
        <f t="shared" si="0"/>
        <v>160948160.66525853</v>
      </c>
    </row>
    <row r="45" spans="2:9" x14ac:dyDescent="0.3">
      <c r="B45" s="39">
        <v>36</v>
      </c>
      <c r="C45" s="39"/>
      <c r="D45" s="11">
        <v>4</v>
      </c>
      <c r="E45" s="16" t="s">
        <v>28</v>
      </c>
      <c r="F45" s="18">
        <v>1566.8</v>
      </c>
      <c r="G45" s="17" t="s">
        <v>3</v>
      </c>
      <c r="H45" s="19">
        <v>257257.34337067872</v>
      </c>
      <c r="I45" s="15">
        <f t="shared" si="0"/>
        <v>403070805.5931794</v>
      </c>
    </row>
    <row r="46" spans="2:9" x14ac:dyDescent="0.3">
      <c r="B46" s="39">
        <v>37</v>
      </c>
      <c r="C46" s="39"/>
      <c r="D46" s="11">
        <v>5</v>
      </c>
      <c r="E46" s="16" t="s">
        <v>29</v>
      </c>
      <c r="F46" s="18">
        <v>3200</v>
      </c>
      <c r="G46" s="17" t="s">
        <v>12</v>
      </c>
      <c r="H46" s="19">
        <v>315675.12630655739</v>
      </c>
      <c r="I46" s="15">
        <f t="shared" si="0"/>
        <v>1010160404.1809837</v>
      </c>
    </row>
    <row r="47" spans="2:9" ht="15" customHeight="1" thickBot="1" x14ac:dyDescent="0.35">
      <c r="B47" s="39">
        <v>38</v>
      </c>
      <c r="C47" s="39"/>
      <c r="D47" s="11">
        <v>6</v>
      </c>
      <c r="E47" s="16" t="s">
        <v>43</v>
      </c>
      <c r="F47" s="18">
        <v>100</v>
      </c>
      <c r="G47" s="17" t="s">
        <v>21</v>
      </c>
      <c r="H47" s="19">
        <v>2000000</v>
      </c>
      <c r="I47" s="15">
        <f t="shared" si="0"/>
        <v>200000000</v>
      </c>
    </row>
    <row r="48" spans="2:9" x14ac:dyDescent="0.3">
      <c r="B48" s="38"/>
      <c r="C48" s="38"/>
      <c r="D48" s="40" t="s">
        <v>55</v>
      </c>
      <c r="E48" s="41"/>
      <c r="F48" s="28"/>
      <c r="G48" s="29"/>
      <c r="H48" s="30"/>
      <c r="I48" s="31">
        <f>SUM(I12:I47)</f>
        <v>88949457646.092667</v>
      </c>
    </row>
    <row r="49" spans="2:9" ht="16.2" thickBot="1" x14ac:dyDescent="0.35">
      <c r="B49" s="38"/>
      <c r="C49" s="38"/>
      <c r="D49" s="42"/>
      <c r="E49" s="43"/>
      <c r="F49" s="33"/>
      <c r="G49" s="34"/>
      <c r="H49" s="35"/>
      <c r="I49" s="35"/>
    </row>
    <row r="50" spans="2:9" x14ac:dyDescent="0.3">
      <c r="B50" s="38"/>
      <c r="C50" s="38"/>
      <c r="D50" s="27"/>
      <c r="E50" s="28" t="s">
        <v>30</v>
      </c>
      <c r="F50" s="28"/>
      <c r="G50" s="29"/>
      <c r="H50" s="30"/>
      <c r="I50" s="31"/>
    </row>
    <row r="51" spans="2:9" ht="16.2" thickBot="1" x14ac:dyDescent="0.35">
      <c r="B51" s="38"/>
      <c r="C51" s="38"/>
      <c r="D51" s="32"/>
      <c r="E51" s="33" t="s">
        <v>31</v>
      </c>
      <c r="F51" s="33"/>
      <c r="G51" s="34"/>
      <c r="H51" s="35"/>
      <c r="I51" s="35"/>
    </row>
    <row r="56" spans="2:9" s="36" customFormat="1" x14ac:dyDescent="0.3"/>
    <row r="57" spans="2:9" s="36" customFormat="1" x14ac:dyDescent="0.3"/>
    <row r="58" spans="2:9" s="36" customFormat="1" x14ac:dyDescent="0.3"/>
    <row r="59" spans="2:9" s="36" customFormat="1" x14ac:dyDescent="0.3"/>
    <row r="60" spans="2:9" s="36" customFormat="1" x14ac:dyDescent="0.3"/>
    <row r="61" spans="2:9" s="36" customFormat="1" x14ac:dyDescent="0.3"/>
    <row r="62" spans="2:9" s="36" customFormat="1" x14ac:dyDescent="0.3"/>
  </sheetData>
  <mergeCells count="44">
    <mergeCell ref="B20:C20"/>
    <mergeCell ref="B21:C21"/>
    <mergeCell ref="B22:C22"/>
    <mergeCell ref="G8:G9"/>
    <mergeCell ref="D8:E9"/>
    <mergeCell ref="D10:E10"/>
    <mergeCell ref="B8:C9"/>
    <mergeCell ref="F8:F9"/>
    <mergeCell ref="B15:C15"/>
    <mergeCell ref="B16:C16"/>
    <mergeCell ref="B17:C17"/>
    <mergeCell ref="B18:C18"/>
    <mergeCell ref="B19:C19"/>
    <mergeCell ref="B11:C11"/>
    <mergeCell ref="B10:C10"/>
    <mergeCell ref="B12:C12"/>
    <mergeCell ref="B13:C13"/>
    <mergeCell ref="B14:C14"/>
    <mergeCell ref="B23:C23"/>
    <mergeCell ref="B24:C24"/>
    <mergeCell ref="B25:C25"/>
    <mergeCell ref="B26:C26"/>
    <mergeCell ref="D48:E49"/>
    <mergeCell ref="B31:C31"/>
    <mergeCell ref="B32:C32"/>
    <mergeCell ref="B33:C33"/>
    <mergeCell ref="B34:C34"/>
    <mergeCell ref="B27:C27"/>
    <mergeCell ref="B28:C28"/>
    <mergeCell ref="B29:C29"/>
    <mergeCell ref="B30:C30"/>
    <mergeCell ref="B39:C39"/>
    <mergeCell ref="B40:C40"/>
    <mergeCell ref="B41:C41"/>
    <mergeCell ref="B42:C42"/>
    <mergeCell ref="B35:C35"/>
    <mergeCell ref="B36:C36"/>
    <mergeCell ref="B37:C37"/>
    <mergeCell ref="B38:C38"/>
    <mergeCell ref="B43:C43"/>
    <mergeCell ref="B44:C44"/>
    <mergeCell ref="B45:C45"/>
    <mergeCell ref="B46:C46"/>
    <mergeCell ref="B47:C4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</cp:lastModifiedBy>
  <dcterms:created xsi:type="dcterms:W3CDTF">2019-09-19T07:03:17Z</dcterms:created>
  <dcterms:modified xsi:type="dcterms:W3CDTF">2024-10-05T07:50:26Z</dcterms:modified>
</cp:coreProperties>
</file>