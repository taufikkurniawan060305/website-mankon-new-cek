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9CB8388-5D21-410C-8E5D-10BD45C37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RVA S GEDUNG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PLTDYKU3ZMO7Vl5zfm08vIuxs8we120LQqeakOl+Xb0="/>
    </ext>
  </extLst>
</workbook>
</file>

<file path=xl/calcChain.xml><?xml version="1.0" encoding="utf-8"?>
<calcChain xmlns="http://schemas.openxmlformats.org/spreadsheetml/2006/main">
  <c r="E88" i="3" l="1"/>
  <c r="E83" i="3"/>
  <c r="E12" i="3"/>
</calcChain>
</file>

<file path=xl/sharedStrings.xml><?xml version="1.0" encoding="utf-8"?>
<sst xmlns="http://schemas.openxmlformats.org/spreadsheetml/2006/main" count="221" uniqueCount="117">
  <si>
    <t>NO</t>
  </si>
  <si>
    <t>SATUAN</t>
  </si>
  <si>
    <t>HARGA SATUAN</t>
  </si>
  <si>
    <t>m3</t>
  </si>
  <si>
    <t>kg</t>
  </si>
  <si>
    <t>m2</t>
  </si>
  <si>
    <t>URAIAN PEKERJAAN</t>
  </si>
  <si>
    <t>VOLUME</t>
  </si>
  <si>
    <t>DURASI</t>
  </si>
  <si>
    <t>JUMLAH HARGA</t>
  </si>
  <si>
    <t>BOBOT</t>
  </si>
  <si>
    <t>SEPTEMBER 2025</t>
  </si>
  <si>
    <t>OKTOBER 2025</t>
  </si>
  <si>
    <t>NOVEMBER 2025</t>
  </si>
  <si>
    <t>DESEMBER 2025</t>
  </si>
  <si>
    <t>JANUARI 2025</t>
  </si>
  <si>
    <t>FEBRUARI 2026</t>
  </si>
  <si>
    <t>MARET 2026</t>
  </si>
  <si>
    <t>APRIL 2026</t>
  </si>
  <si>
    <t>MEI 2026</t>
  </si>
  <si>
    <t>JUNI 2026</t>
  </si>
  <si>
    <t>JULI 2026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</si>
  <si>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</si>
  <si>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</si>
  <si>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</si>
  <si>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</si>
  <si>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</si>
  <si>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</si>
  <si>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</si>
  <si>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</si>
  <si>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</si>
  <si>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</si>
  <si>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</si>
  <si>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</si>
  <si>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</si>
  <si>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</si>
  <si>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</si>
  <si>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</si>
  <si>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</si>
  <si>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</si>
  <si>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</si>
  <si>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</si>
  <si>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</si>
  <si>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</si>
  <si>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</si>
  <si>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</si>
  <si>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</si>
  <si>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</si>
  <si>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</si>
  <si>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</si>
  <si>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</si>
  <si>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</si>
  <si>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</si>
  <si>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</si>
  <si>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</si>
  <si>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</si>
  <si>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</si>
  <si>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</si>
  <si>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</si>
  <si>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</si>
  <si>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</si>
  <si>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</si>
  <si>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</si>
  <si>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</si>
  <si>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</si>
  <si>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</si>
  <si>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</si>
  <si>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</si>
  <si>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</si>
  <si>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</si>
  <si>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</si>
  <si>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</si>
  <si>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PEMBANGUNAN GEDUNG PERKULIAHAN</t>
  </si>
  <si>
    <t>PEKERJAAN PERSIAPAN</t>
  </si>
  <si>
    <t>Mobilisasi dan Demobilisasi</t>
  </si>
  <si>
    <t>LS</t>
  </si>
  <si>
    <t>Pembersihan Lahan</t>
  </si>
  <si>
    <t>Pagar Proyek</t>
  </si>
  <si>
    <t>m'</t>
  </si>
  <si>
    <t>Pengadaan Sumber daya air</t>
  </si>
  <si>
    <t>Pengadaan Tenaga Listrik</t>
  </si>
  <si>
    <t>Pekerjaan Bouwplank</t>
  </si>
  <si>
    <t>K3</t>
  </si>
  <si>
    <t>PEKERJAAN STRUKTUR</t>
  </si>
  <si>
    <t>PEKERJAAN GALIAN TANAH</t>
  </si>
  <si>
    <t>Galian Tanah Foot Plate (FP)</t>
  </si>
  <si>
    <t>Urugan Kembali</t>
  </si>
  <si>
    <t>Urugan Pasir Bawah Foot plat</t>
  </si>
  <si>
    <t>PEKERJAAN STRUKTUR PONDASI</t>
  </si>
  <si>
    <t>Penulangan Footplate</t>
  </si>
  <si>
    <t xml:space="preserve"> </t>
  </si>
  <si>
    <t>Pemasangan Bekisting</t>
  </si>
  <si>
    <t>Pengecoran beton fc 35'</t>
  </si>
  <si>
    <t>Pembongkaran bekisting</t>
  </si>
  <si>
    <t>PEKERJAAN STRUKTUR BETON</t>
  </si>
  <si>
    <t>Lantai 1</t>
  </si>
  <si>
    <t>Tie Beam</t>
  </si>
  <si>
    <t>Penulangan</t>
  </si>
  <si>
    <t>Pembongkaran Bekisting</t>
  </si>
  <si>
    <t>Plat Lantai</t>
  </si>
  <si>
    <t>Balok</t>
  </si>
  <si>
    <t>Kolom</t>
  </si>
  <si>
    <t>Lantai 2</t>
  </si>
  <si>
    <t>Lantai RoofTop</t>
  </si>
  <si>
    <t>Dak Beton</t>
  </si>
  <si>
    <t>PEKERJAAN TANGGA</t>
  </si>
  <si>
    <t>Tangga Tipe 1</t>
  </si>
  <si>
    <t>Tangga Tipe 2</t>
  </si>
  <si>
    <t>PEKERJAAN ARSITEKTUR</t>
  </si>
  <si>
    <t>Pekerjaan lantai Homogeneus</t>
  </si>
  <si>
    <t>Pekerjaan plester acian dinding</t>
  </si>
  <si>
    <t>Pekerjaan Plafond</t>
  </si>
  <si>
    <t>JUMLAH RAB</t>
  </si>
  <si>
    <t>Pekerjaan Dinding bata ringan tebal 10 cm</t>
  </si>
  <si>
    <t>PROGRESS RENCANA</t>
  </si>
  <si>
    <t>KUMULATIF PROGRESS RENCANA</t>
  </si>
  <si>
    <t>PPN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</si>
</sst>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p&quot;#,##0.00"/>
    <numFmt numFmtId="167" formatCode="0.000000"/>
  </numFmts>
  <fonts count="10" x14ac:knownFonts="1">
    <font>
      <sz val="10"/>
      <color rgb="FF000000"/>
      <name val="Arial"/>
      <scheme val="minor"/>
    </font>
    <font>
      <sz val="10"/>
      <name val="Arial"/>
    </font>
    <font>
      <b/>
      <sz val="12"/>
      <color theme="1"/>
      <name val="Times New Roman"/>
    </font>
    <font>
      <sz val="10"/>
      <color rgb="FF000000"/>
      <name val="Arial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0"/>
      <name val="Times New Roman"/>
    </font>
    <font>
      <b/>
      <sz val="12"/>
      <color rgb="FFFFFFFF"/>
      <name val="Times New Roman"/>
    </font>
    <font>
      <sz val="12"/>
      <color theme="0"/>
      <name val="Times New Roman"/>
    </font>
    <font>
      <sz val="12"/>
      <color rgb="FFFF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083C92"/>
        <bgColor rgb="FF083C92"/>
      </patternFill>
    </fill>
    <fill>
      <patternFill patternType="solid">
        <fgColor rgb="FF0C5ADB"/>
        <bgColor rgb="FF0C5ADB"/>
      </patternFill>
    </fill>
    <fill>
      <patternFill patternType="solid">
        <fgColor rgb="FF8DB5F8"/>
        <bgColor rgb="FF8DB5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/>
    <xf numFmtId="49" fontId="6" fillId="2" borderId="4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" fontId="2" fillId="4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165" fontId="3" fillId="0" borderId="0" xfId="0" applyNumberFormat="1" applyFont="1"/>
    <xf numFmtId="0" fontId="4" fillId="0" borderId="3" xfId="0" applyFont="1" applyBorder="1"/>
    <xf numFmtId="0" fontId="5" fillId="0" borderId="2" xfId="0" applyFont="1" applyBorder="1" applyAlignment="1">
      <alignment horizontal="center" vertical="center"/>
    </xf>
    <xf numFmtId="0" fontId="1" fillId="0" borderId="7" xfId="0" applyFont="1" applyBorder="1"/>
    <xf numFmtId="167" fontId="4" fillId="0" borderId="4" xfId="0" applyNumberFormat="1" applyFont="1" applyFill="1" applyBorder="1"/>
    <xf numFmtId="0" fontId="4" fillId="0" borderId="4" xfId="0" applyFont="1" applyFill="1" applyBorder="1"/>
    <xf numFmtId="0" fontId="4" fillId="0" borderId="3" xfId="0" applyFont="1" applyFill="1" applyBorder="1"/>
    <xf numFmtId="0" fontId="3" fillId="0" borderId="0" xfId="0" applyFont="1" applyFill="1"/>
    <xf numFmtId="167" fontId="4" fillId="0" borderId="3" xfId="0" applyNumberFormat="1" applyFont="1" applyFill="1" applyBorder="1"/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9" xfId="0" applyFont="1" applyBorder="1"/>
    <xf numFmtId="0" fontId="6" fillId="2" borderId="11" xfId="0" applyFont="1" applyFill="1" applyBorder="1" applyAlignment="1">
      <alignment horizontal="center" vertical="center"/>
    </xf>
    <xf numFmtId="0" fontId="1" fillId="0" borderId="12" xfId="0" applyFont="1" applyBorder="1"/>
    <xf numFmtId="0" fontId="5" fillId="0" borderId="10" xfId="0" applyFont="1" applyBorder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" fontId="2" fillId="4" borderId="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3" xfId="0" applyFont="1" applyBorder="1"/>
    <xf numFmtId="0" fontId="8" fillId="2" borderId="13" xfId="0" applyFont="1" applyFill="1" applyBorder="1" applyAlignment="1">
      <alignment vertic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4" fillId="0" borderId="13" xfId="0" applyFont="1" applyBorder="1"/>
    <xf numFmtId="167" fontId="4" fillId="0" borderId="13" xfId="0" applyNumberFormat="1" applyFont="1" applyBorder="1" applyAlignment="1">
      <alignment horizontal="right"/>
    </xf>
    <xf numFmtId="9" fontId="4" fillId="0" borderId="13" xfId="0" applyNumberFormat="1" applyFont="1" applyBorder="1" applyAlignment="1">
      <alignment horizontal="center" vertical="center"/>
    </xf>
    <xf numFmtId="0" fontId="2" fillId="5" borderId="13" xfId="0" applyFont="1" applyFill="1" applyBorder="1"/>
    <xf numFmtId="0" fontId="1" fillId="5" borderId="13" xfId="0" applyFont="1" applyFill="1" applyBorder="1"/>
    <xf numFmtId="0" fontId="2" fillId="5" borderId="1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2" fillId="5" borderId="13" xfId="0" applyFont="1" applyFill="1" applyBorder="1"/>
    <xf numFmtId="0" fontId="4" fillId="5" borderId="13" xfId="0" applyFont="1" applyFill="1" applyBorder="1"/>
    <xf numFmtId="165" fontId="4" fillId="5" borderId="13" xfId="0" applyNumberFormat="1" applyFont="1" applyFill="1" applyBorder="1"/>
    <xf numFmtId="2" fontId="4" fillId="5" borderId="13" xfId="0" applyNumberFormat="1" applyFont="1" applyFill="1" applyBorder="1"/>
    <xf numFmtId="0" fontId="4" fillId="5" borderId="13" xfId="0" applyFont="1" applyFill="1" applyBorder="1" applyAlignment="1">
      <alignment horizontal="center"/>
    </xf>
    <xf numFmtId="165" fontId="4" fillId="5" borderId="13" xfId="0" applyNumberFormat="1" applyFont="1" applyFill="1" applyBorder="1" applyAlignment="1">
      <alignment horizontal="right"/>
    </xf>
    <xf numFmtId="165" fontId="9" fillId="5" borderId="13" xfId="0" applyNumberFormat="1" applyFont="1" applyFill="1" applyBorder="1" applyAlignment="1">
      <alignment horizontal="right"/>
    </xf>
    <xf numFmtId="0" fontId="4" fillId="5" borderId="13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9" fontId="4" fillId="5" borderId="13" xfId="0" applyNumberFormat="1" applyFont="1" applyFill="1" applyBorder="1" applyAlignment="1">
      <alignment horizontal="center" vertical="center"/>
    </xf>
    <xf numFmtId="167" fontId="4" fillId="5" borderId="8" xfId="0" applyNumberFormat="1" applyFont="1" applyFill="1" applyBorder="1"/>
    <xf numFmtId="0" fontId="5" fillId="0" borderId="9" xfId="0" applyFont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left"/>
    </xf>
    <xf numFmtId="0" fontId="1" fillId="6" borderId="13" xfId="0" applyFont="1" applyFill="1" applyBorder="1"/>
    <xf numFmtId="165" fontId="2" fillId="6" borderId="13" xfId="0" applyNumberFormat="1" applyFont="1" applyFill="1" applyBorder="1" applyAlignment="1">
      <alignment horizontal="right"/>
    </xf>
    <xf numFmtId="0" fontId="2" fillId="6" borderId="13" xfId="0" applyFont="1" applyFill="1" applyBorder="1" applyAlignment="1">
      <alignment horizontal="left"/>
    </xf>
    <xf numFmtId="0" fontId="1" fillId="6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0,011615</c:v>
          </c:tx>
          <c:spPr>
            <a:ln w="12382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'KURVA S GEDUNG '!$L$93:$BH$93</c:f>
              <c:numCache>
                <c:formatCode>0.000000</c:formatCode>
                <c:ptCount val="49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B6-49C2-BCF4-68D40607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268786"/>
        <c:axId val="2080554648"/>
      </c:lineChart>
      <c:catAx>
        <c:axId val="890268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0554648"/>
        <c:crosses val="autoZero"/>
        <c:auto val="1"/>
        <c:lblAlgn val="ctr"/>
        <c:lblOffset val="100"/>
        <c:noMultiLvlLbl val="1"/>
      </c:catAx>
      <c:valAx>
        <c:axId val="208055464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0.000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026878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619125</xdr:colOff>
      <xdr:row>97</xdr:row>
      <xdr:rowOff>171450</xdr:rowOff>
    </xdr:from>
    <xdr:ext cx="9258300" cy="4629150"/>
    <xdr:graphicFrame macro="">
      <xdr:nvGraphicFramePr>
        <xdr:cNvPr id="2009714221" name="Chart 1" title="Diagram">
          <a:extLst>
            <a:ext uri="{FF2B5EF4-FFF2-40B4-BE49-F238E27FC236}">
              <a16:creationId xmlns:a16="http://schemas.microsoft.com/office/drawing/2014/main" id="{00000000-0008-0000-0200-00002DCE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BH1001"/>
  <sheetViews>
    <sheetView tabSelected="1" workbookViewId="0">
      <selection activeCell="H91" sqref="H91"/>
    </sheetView>
  </sheetViews>
  <sheetFormatPr defaultColWidth="12.6640625" defaultRowHeight="15" customHeight="1" x14ac:dyDescent="0.25"/>
  <cols>
    <col min="1" max="1" width="36.77734375" customWidth="1"/>
    <col min="2" max="2" width="4.77734375" customWidth="1"/>
    <col min="3" max="3" width="43" customWidth="1"/>
    <col min="4" max="4" width="29.77734375" customWidth="1"/>
    <col min="5" max="5" width="11.77734375" customWidth="1"/>
    <col min="6" max="6" width="10.88671875" customWidth="1"/>
    <col min="7" max="7" width="9.6640625" customWidth="1"/>
    <col min="8" max="8" width="22.88671875" customWidth="1"/>
    <col min="9" max="9" width="21.21875" customWidth="1"/>
    <col min="10" max="10" width="11" customWidth="1"/>
    <col min="11" max="12" width="11.44140625" customWidth="1"/>
    <col min="13" max="13" width="11" customWidth="1"/>
    <col min="14" max="15" width="12" customWidth="1"/>
    <col min="16" max="16" width="11.44140625" customWidth="1"/>
    <col min="17" max="18" width="12" customWidth="1"/>
    <col min="19" max="20" width="11.44140625" customWidth="1"/>
    <col min="21" max="21" width="11" customWidth="1"/>
    <col min="22" max="23" width="11.44140625" customWidth="1"/>
    <col min="24" max="24" width="11" customWidth="1"/>
    <col min="25" max="25" width="11.44140625" customWidth="1"/>
    <col min="26" max="26" width="10.44140625" customWidth="1"/>
    <col min="27" max="35" width="12" customWidth="1"/>
    <col min="36" max="36" width="11.44140625" customWidth="1"/>
    <col min="37" max="37" width="12" customWidth="1"/>
    <col min="38" max="38" width="11.44140625" customWidth="1"/>
    <col min="39" max="39" width="12" customWidth="1"/>
    <col min="40" max="40" width="11.44140625" customWidth="1"/>
    <col min="41" max="43" width="12" customWidth="1"/>
    <col min="44" max="44" width="11.44140625" customWidth="1"/>
    <col min="45" max="46" width="12" customWidth="1"/>
    <col min="47" max="47" width="11.44140625" customWidth="1"/>
    <col min="48" max="48" width="12" customWidth="1"/>
    <col min="49" max="49" width="11.44140625" customWidth="1"/>
    <col min="50" max="50" width="11" customWidth="1"/>
    <col min="51" max="54" width="12" customWidth="1"/>
    <col min="55" max="55" width="11.44140625" customWidth="1"/>
    <col min="56" max="57" width="12" customWidth="1"/>
    <col min="58" max="59" width="11.44140625" customWidth="1"/>
    <col min="60" max="60" width="13.88671875" customWidth="1"/>
  </cols>
  <sheetData>
    <row r="1" spans="1:60" ht="15.6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5" customHeight="1" x14ac:dyDescent="0.25">
      <c r="A2" s="1"/>
      <c r="B2" s="22" t="s">
        <v>0</v>
      </c>
      <c r="C2" s="28" t="s">
        <v>6</v>
      </c>
      <c r="D2" s="28"/>
      <c r="E2" s="28" t="s">
        <v>7</v>
      </c>
      <c r="F2" s="28" t="s">
        <v>1</v>
      </c>
      <c r="G2" s="29" t="s">
        <v>8</v>
      </c>
      <c r="H2" s="28" t="s">
        <v>2</v>
      </c>
      <c r="I2" s="30" t="s">
        <v>9</v>
      </c>
      <c r="J2" s="30" t="s">
        <v>10</v>
      </c>
      <c r="K2" s="25" t="s">
        <v>11</v>
      </c>
      <c r="L2" s="3"/>
      <c r="M2" s="3"/>
      <c r="N2" s="3"/>
      <c r="O2" s="3" t="s">
        <v>12</v>
      </c>
      <c r="P2" s="3"/>
      <c r="Q2" s="3"/>
      <c r="R2" s="3"/>
      <c r="S2" s="3"/>
      <c r="T2" s="3" t="s">
        <v>13</v>
      </c>
      <c r="U2" s="3"/>
      <c r="V2" s="3"/>
      <c r="W2" s="3"/>
      <c r="X2" s="3" t="s">
        <v>14</v>
      </c>
      <c r="Y2" s="3"/>
      <c r="Z2" s="3"/>
      <c r="AA2" s="3"/>
      <c r="AB2" s="3"/>
      <c r="AC2" s="3" t="s">
        <v>15</v>
      </c>
      <c r="AD2" s="3"/>
      <c r="AE2" s="3"/>
      <c r="AF2" s="3"/>
      <c r="AG2" s="3" t="s">
        <v>16</v>
      </c>
      <c r="AH2" s="3"/>
      <c r="AI2" s="3"/>
      <c r="AJ2" s="3"/>
      <c r="AK2" s="3" t="s">
        <v>17</v>
      </c>
      <c r="AL2" s="3"/>
      <c r="AM2" s="3"/>
      <c r="AN2" s="3"/>
      <c r="AO2" s="3" t="s">
        <v>18</v>
      </c>
      <c r="AP2" s="3"/>
      <c r="AQ2" s="3"/>
      <c r="AR2" s="3"/>
      <c r="AS2" s="3"/>
      <c r="AT2" s="4" t="s">
        <v>19</v>
      </c>
      <c r="AU2" s="5"/>
      <c r="AV2" s="5"/>
      <c r="AW2" s="5"/>
      <c r="AX2" s="6"/>
      <c r="AY2" s="3" t="s">
        <v>20</v>
      </c>
      <c r="AZ2" s="3"/>
      <c r="BA2" s="3"/>
      <c r="BB2" s="3"/>
      <c r="BC2" s="3"/>
      <c r="BD2" s="3" t="s">
        <v>21</v>
      </c>
      <c r="BE2" s="3"/>
      <c r="BF2" s="3"/>
      <c r="BG2" s="3"/>
      <c r="BH2" s="3"/>
    </row>
    <row r="3" spans="1:60" ht="15" customHeight="1" x14ac:dyDescent="0.25">
      <c r="A3" s="1"/>
      <c r="B3" s="23"/>
      <c r="C3" s="31"/>
      <c r="D3" s="31"/>
      <c r="E3" s="31"/>
      <c r="F3" s="31"/>
      <c r="G3" s="31"/>
      <c r="H3" s="31"/>
      <c r="I3" s="32"/>
      <c r="J3" s="32"/>
      <c r="K3" s="26" t="s">
        <v>22</v>
      </c>
      <c r="L3" s="7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7" t="s">
        <v>29</v>
      </c>
      <c r="S3" s="7" t="s">
        <v>30</v>
      </c>
      <c r="T3" s="7" t="s">
        <v>31</v>
      </c>
      <c r="U3" s="7" t="s">
        <v>32</v>
      </c>
      <c r="V3" s="7" t="s">
        <v>33</v>
      </c>
      <c r="W3" s="7" t="s">
        <v>34</v>
      </c>
      <c r="X3" s="7" t="s">
        <v>35</v>
      </c>
      <c r="Y3" s="7" t="s">
        <v>36</v>
      </c>
      <c r="Z3" s="7" t="s">
        <v>37</v>
      </c>
      <c r="AA3" s="7" t="s">
        <v>38</v>
      </c>
      <c r="AB3" s="7" t="s">
        <v>39</v>
      </c>
      <c r="AC3" s="7" t="s">
        <v>40</v>
      </c>
      <c r="AD3" s="7" t="s">
        <v>41</v>
      </c>
      <c r="AE3" s="7" t="s">
        <v>42</v>
      </c>
      <c r="AF3" s="7" t="s">
        <v>43</v>
      </c>
      <c r="AG3" s="7" t="s">
        <v>44</v>
      </c>
      <c r="AH3" s="7" t="s">
        <v>45</v>
      </c>
      <c r="AI3" s="7" t="s">
        <v>46</v>
      </c>
      <c r="AJ3" s="7" t="s">
        <v>47</v>
      </c>
      <c r="AK3" s="7" t="s">
        <v>48</v>
      </c>
      <c r="AL3" s="7" t="s">
        <v>49</v>
      </c>
      <c r="AM3" s="7" t="s">
        <v>50</v>
      </c>
      <c r="AN3" s="7" t="s">
        <v>51</v>
      </c>
      <c r="AO3" s="7" t="s">
        <v>52</v>
      </c>
      <c r="AP3" s="7" t="s">
        <v>53</v>
      </c>
      <c r="AQ3" s="7" t="s">
        <v>54</v>
      </c>
      <c r="AR3" s="7" t="s">
        <v>55</v>
      </c>
      <c r="AS3" s="7" t="s">
        <v>56</v>
      </c>
      <c r="AT3" s="7" t="s">
        <v>57</v>
      </c>
      <c r="AU3" s="7" t="s">
        <v>58</v>
      </c>
      <c r="AV3" s="7" t="s">
        <v>59</v>
      </c>
      <c r="AW3" s="7" t="s">
        <v>60</v>
      </c>
      <c r="AX3" s="7" t="s">
        <v>61</v>
      </c>
      <c r="AY3" s="7" t="s">
        <v>62</v>
      </c>
      <c r="AZ3" s="7" t="s">
        <v>63</v>
      </c>
      <c r="BA3" s="7" t="s">
        <v>64</v>
      </c>
      <c r="BB3" s="7" t="s">
        <v>65</v>
      </c>
      <c r="BC3" s="7" t="s">
        <v>66</v>
      </c>
      <c r="BD3" s="7" t="s">
        <v>67</v>
      </c>
      <c r="BE3" s="7" t="s">
        <v>68</v>
      </c>
      <c r="BF3" s="7" t="s">
        <v>69</v>
      </c>
      <c r="BG3" s="7" t="s">
        <v>70</v>
      </c>
      <c r="BH3" s="7" t="s">
        <v>71</v>
      </c>
    </row>
    <row r="4" spans="1:60" ht="15.75" customHeight="1" x14ac:dyDescent="0.25">
      <c r="A4" s="1"/>
      <c r="B4" s="23"/>
      <c r="C4" s="31"/>
      <c r="D4" s="31"/>
      <c r="E4" s="31"/>
      <c r="F4" s="31"/>
      <c r="G4" s="31"/>
      <c r="H4" s="31"/>
      <c r="I4" s="32"/>
      <c r="J4" s="32"/>
      <c r="K4" s="2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0" ht="15.75" customHeight="1" x14ac:dyDescent="0.3">
      <c r="A5" s="1"/>
      <c r="B5" s="12">
        <v>1</v>
      </c>
      <c r="C5" s="38" t="s">
        <v>72</v>
      </c>
      <c r="D5" s="39"/>
      <c r="E5" s="40"/>
      <c r="F5" s="40"/>
      <c r="G5" s="41"/>
      <c r="H5" s="40"/>
      <c r="I5" s="40"/>
      <c r="J5" s="33"/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5.75" customHeight="1" x14ac:dyDescent="0.3">
      <c r="A6" s="10"/>
      <c r="B6" s="12">
        <v>2</v>
      </c>
      <c r="C6" s="42" t="s">
        <v>73</v>
      </c>
      <c r="D6" s="43"/>
      <c r="E6" s="43"/>
      <c r="F6" s="43"/>
      <c r="G6" s="41"/>
      <c r="H6" s="43"/>
      <c r="I6" s="44"/>
      <c r="J6" s="35"/>
      <c r="K6" s="1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ht="15.75" customHeight="1" x14ac:dyDescent="0.3">
      <c r="A7" s="1"/>
      <c r="B7" s="12">
        <v>3</v>
      </c>
      <c r="C7" s="43" t="s">
        <v>74</v>
      </c>
      <c r="D7" s="43"/>
      <c r="E7" s="45">
        <v>1</v>
      </c>
      <c r="F7" s="46" t="s">
        <v>75</v>
      </c>
      <c r="G7" s="41">
        <v>50</v>
      </c>
      <c r="H7" s="47"/>
      <c r="I7" s="47"/>
      <c r="J7" s="36"/>
      <c r="K7" s="18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</row>
    <row r="8" spans="1:60" ht="15.75" customHeight="1" x14ac:dyDescent="0.3">
      <c r="A8" s="1"/>
      <c r="B8" s="12">
        <v>4</v>
      </c>
      <c r="C8" s="43" t="s">
        <v>76</v>
      </c>
      <c r="D8" s="43"/>
      <c r="E8" s="45">
        <v>965.25</v>
      </c>
      <c r="F8" s="46" t="s">
        <v>5</v>
      </c>
      <c r="G8" s="41">
        <v>1</v>
      </c>
      <c r="H8" s="47"/>
      <c r="I8" s="47"/>
      <c r="J8" s="36"/>
      <c r="K8" s="18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</row>
    <row r="9" spans="1:60" ht="15.75" customHeight="1" x14ac:dyDescent="0.3">
      <c r="A9" s="1"/>
      <c r="B9" s="12">
        <v>5</v>
      </c>
      <c r="C9" s="43" t="s">
        <v>77</v>
      </c>
      <c r="D9" s="43"/>
      <c r="E9" s="45">
        <v>124.5</v>
      </c>
      <c r="F9" s="46" t="s">
        <v>78</v>
      </c>
      <c r="G9" s="41">
        <v>1</v>
      </c>
      <c r="H9" s="47"/>
      <c r="I9" s="48"/>
      <c r="J9" s="36"/>
      <c r="K9" s="18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</row>
    <row r="10" spans="1:60" ht="15.75" customHeight="1" x14ac:dyDescent="0.3">
      <c r="A10" s="1"/>
      <c r="B10" s="12">
        <v>6</v>
      </c>
      <c r="C10" s="43" t="s">
        <v>79</v>
      </c>
      <c r="D10" s="43"/>
      <c r="E10" s="45">
        <v>1</v>
      </c>
      <c r="F10" s="46" t="s">
        <v>75</v>
      </c>
      <c r="G10" s="41">
        <v>50</v>
      </c>
      <c r="H10" s="47"/>
      <c r="I10" s="47"/>
      <c r="J10" s="36"/>
      <c r="K10" s="18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</row>
    <row r="11" spans="1:60" ht="15.75" customHeight="1" x14ac:dyDescent="0.3">
      <c r="A11" s="1"/>
      <c r="B11" s="12">
        <v>7</v>
      </c>
      <c r="C11" s="43" t="s">
        <v>80</v>
      </c>
      <c r="D11" s="43"/>
      <c r="E11" s="45">
        <v>1</v>
      </c>
      <c r="F11" s="46" t="s">
        <v>75</v>
      </c>
      <c r="G11" s="41">
        <v>50</v>
      </c>
      <c r="H11" s="47"/>
      <c r="I11" s="47"/>
      <c r="J11" s="36"/>
      <c r="K11" s="18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</row>
    <row r="12" spans="1:60" ht="15.75" customHeight="1" x14ac:dyDescent="0.3">
      <c r="A12" s="1"/>
      <c r="B12" s="12">
        <v>8</v>
      </c>
      <c r="C12" s="43" t="s">
        <v>81</v>
      </c>
      <c r="D12" s="43"/>
      <c r="E12" s="45">
        <f>E9</f>
        <v>124.5</v>
      </c>
      <c r="F12" s="46" t="s">
        <v>78</v>
      </c>
      <c r="G12" s="41">
        <v>1</v>
      </c>
      <c r="H12" s="47"/>
      <c r="I12" s="48"/>
      <c r="J12" s="36"/>
      <c r="K12" s="16"/>
      <c r="L12" s="14"/>
      <c r="M12" s="1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</row>
    <row r="13" spans="1:60" ht="15.75" customHeight="1" x14ac:dyDescent="0.3">
      <c r="A13" s="1"/>
      <c r="B13" s="12">
        <v>9</v>
      </c>
      <c r="C13" s="43" t="s">
        <v>82</v>
      </c>
      <c r="D13" s="43"/>
      <c r="E13" s="45">
        <v>1</v>
      </c>
      <c r="F13" s="46" t="s">
        <v>75</v>
      </c>
      <c r="G13" s="41">
        <v>50</v>
      </c>
      <c r="H13" s="47"/>
      <c r="I13" s="47"/>
      <c r="J13" s="36"/>
      <c r="K13" s="18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</row>
    <row r="14" spans="1:60" ht="15.75" customHeight="1" x14ac:dyDescent="0.3">
      <c r="A14" s="10"/>
      <c r="B14" s="12">
        <v>10</v>
      </c>
      <c r="C14" s="42" t="s">
        <v>83</v>
      </c>
      <c r="D14" s="42"/>
      <c r="E14" s="42"/>
      <c r="F14" s="42"/>
      <c r="G14" s="41"/>
      <c r="H14" s="42"/>
      <c r="I14" s="42"/>
      <c r="J14" s="34"/>
      <c r="K14" s="18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</row>
    <row r="15" spans="1:60" ht="15.75" customHeight="1" x14ac:dyDescent="0.3">
      <c r="A15" s="1"/>
      <c r="B15" s="12">
        <v>11</v>
      </c>
      <c r="C15" s="42" t="s">
        <v>84</v>
      </c>
      <c r="D15" s="43"/>
      <c r="E15" s="45"/>
      <c r="F15" s="46"/>
      <c r="G15" s="41"/>
      <c r="H15" s="49"/>
      <c r="I15" s="43"/>
      <c r="J15" s="36"/>
      <c r="K15" s="16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</row>
    <row r="16" spans="1:60" ht="15.75" customHeight="1" x14ac:dyDescent="0.3">
      <c r="A16" s="1"/>
      <c r="B16" s="12">
        <v>12</v>
      </c>
      <c r="C16" s="43" t="s">
        <v>85</v>
      </c>
      <c r="D16" s="43"/>
      <c r="E16" s="45">
        <v>264.60000000000002</v>
      </c>
      <c r="F16" s="46" t="s">
        <v>3</v>
      </c>
      <c r="G16" s="41">
        <v>2</v>
      </c>
      <c r="H16" s="47"/>
      <c r="I16" s="47"/>
      <c r="J16" s="36"/>
      <c r="K16" s="16"/>
      <c r="L16" s="15"/>
      <c r="M16" s="14"/>
      <c r="N16" s="14"/>
      <c r="O16" s="14"/>
      <c r="P16" s="14"/>
      <c r="Q16" s="14"/>
      <c r="R16" s="14"/>
      <c r="S16" s="14"/>
      <c r="T16" s="15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</row>
    <row r="17" spans="1:60" ht="15.75" customHeight="1" x14ac:dyDescent="0.3">
      <c r="A17" s="1"/>
      <c r="B17" s="12">
        <v>13</v>
      </c>
      <c r="C17" s="43" t="s">
        <v>86</v>
      </c>
      <c r="D17" s="43"/>
      <c r="E17" s="45">
        <v>196.38</v>
      </c>
      <c r="F17" s="46" t="s">
        <v>3</v>
      </c>
      <c r="G17" s="41">
        <v>1</v>
      </c>
      <c r="H17" s="47"/>
      <c r="I17" s="47"/>
      <c r="J17" s="36"/>
      <c r="K17" s="1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4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4"/>
      <c r="BF17" s="14"/>
      <c r="BG17" s="14"/>
      <c r="BH17" s="14"/>
    </row>
    <row r="18" spans="1:60" ht="15.75" customHeight="1" x14ac:dyDescent="0.3">
      <c r="A18" s="1"/>
      <c r="B18" s="12">
        <v>14</v>
      </c>
      <c r="C18" s="43" t="s">
        <v>87</v>
      </c>
      <c r="D18" s="43"/>
      <c r="E18" s="45">
        <v>21.6</v>
      </c>
      <c r="F18" s="46" t="s">
        <v>3</v>
      </c>
      <c r="G18" s="41">
        <v>1</v>
      </c>
      <c r="H18" s="47"/>
      <c r="I18" s="48"/>
      <c r="J18" s="36"/>
      <c r="K18" s="16"/>
      <c r="L18" s="15"/>
      <c r="M18" s="15"/>
      <c r="N18" s="15"/>
      <c r="O18" s="14"/>
      <c r="P18" s="15"/>
      <c r="Q18" s="14"/>
      <c r="R18" s="15"/>
      <c r="S18" s="15"/>
      <c r="T18" s="15"/>
      <c r="U18" s="15"/>
      <c r="V18" s="14"/>
      <c r="W18" s="15"/>
      <c r="X18" s="15"/>
      <c r="Y18" s="15"/>
      <c r="Z18" s="15"/>
      <c r="AA18" s="15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</row>
    <row r="19" spans="1:60" ht="15.75" customHeight="1" x14ac:dyDescent="0.3">
      <c r="A19" s="1"/>
      <c r="B19" s="12">
        <v>15</v>
      </c>
      <c r="C19" s="42" t="s">
        <v>88</v>
      </c>
      <c r="D19" s="42"/>
      <c r="E19" s="42"/>
      <c r="F19" s="42"/>
      <c r="G19" s="41"/>
      <c r="H19" s="42"/>
      <c r="I19" s="42"/>
      <c r="J19" s="34"/>
      <c r="K19" s="16"/>
      <c r="L19" s="15"/>
      <c r="M19" s="15"/>
      <c r="N19" s="15"/>
      <c r="O19" s="15"/>
      <c r="P19" s="14"/>
      <c r="Q19" s="14"/>
      <c r="R19" s="15"/>
      <c r="S19" s="15"/>
      <c r="T19" s="15"/>
      <c r="U19" s="15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</row>
    <row r="20" spans="1:60" ht="15.75" customHeight="1" x14ac:dyDescent="0.3">
      <c r="A20" s="1"/>
      <c r="B20" s="12">
        <v>16</v>
      </c>
      <c r="C20" s="43" t="s">
        <v>89</v>
      </c>
      <c r="D20" s="43"/>
      <c r="E20" s="45">
        <v>8527.5</v>
      </c>
      <c r="F20" s="46" t="s">
        <v>4</v>
      </c>
      <c r="G20" s="41">
        <v>6</v>
      </c>
      <c r="H20" s="47"/>
      <c r="I20" s="48"/>
      <c r="J20" s="36"/>
      <c r="K20" s="16"/>
      <c r="L20" s="15"/>
      <c r="M20" s="15"/>
      <c r="N20" s="15"/>
      <c r="O20" s="14"/>
      <c r="P20" s="14"/>
      <c r="Q20" s="14"/>
      <c r="R20" s="14"/>
      <c r="S20" s="14"/>
      <c r="T20" s="14"/>
      <c r="U20" s="15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</row>
    <row r="21" spans="1:60" ht="15.75" customHeight="1" x14ac:dyDescent="0.3">
      <c r="A21" s="1" t="s">
        <v>90</v>
      </c>
      <c r="B21" s="12">
        <v>17</v>
      </c>
      <c r="C21" s="43" t="s">
        <v>91</v>
      </c>
      <c r="D21" s="43"/>
      <c r="E21" s="45">
        <v>353.07</v>
      </c>
      <c r="F21" s="46" t="s">
        <v>5</v>
      </c>
      <c r="G21" s="41">
        <v>1</v>
      </c>
      <c r="H21" s="47"/>
      <c r="I21" s="48"/>
      <c r="J21" s="36"/>
      <c r="K21" s="16"/>
      <c r="L21" s="15"/>
      <c r="M21" s="15"/>
      <c r="N21" s="15"/>
      <c r="O21" s="15"/>
      <c r="P21" s="15"/>
      <c r="Q21" s="15"/>
      <c r="R21" s="15"/>
      <c r="S21" s="15"/>
      <c r="T21" s="15"/>
      <c r="U21" s="14"/>
      <c r="V21" s="14"/>
      <c r="W21" s="15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</row>
    <row r="22" spans="1:60" ht="15.75" customHeight="1" x14ac:dyDescent="0.3">
      <c r="A22" s="1"/>
      <c r="B22" s="12">
        <v>18</v>
      </c>
      <c r="C22" s="43" t="s">
        <v>92</v>
      </c>
      <c r="D22" s="43"/>
      <c r="E22" s="45">
        <v>68.22</v>
      </c>
      <c r="F22" s="46" t="s">
        <v>3</v>
      </c>
      <c r="G22" s="41">
        <v>1</v>
      </c>
      <c r="H22" s="47"/>
      <c r="I22" s="48"/>
      <c r="J22" s="36"/>
      <c r="K22" s="1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/>
      <c r="W22" s="14"/>
      <c r="X22" s="15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spans="1:60" ht="15.75" customHeight="1" x14ac:dyDescent="0.3">
      <c r="A23" s="1"/>
      <c r="B23" s="12">
        <v>19</v>
      </c>
      <c r="C23" s="43" t="s">
        <v>93</v>
      </c>
      <c r="D23" s="43"/>
      <c r="E23" s="45">
        <v>353.07</v>
      </c>
      <c r="F23" s="46" t="s">
        <v>5</v>
      </c>
      <c r="G23" s="41">
        <v>1</v>
      </c>
      <c r="H23" s="47"/>
      <c r="I23" s="48"/>
      <c r="J23" s="36"/>
      <c r="K23" s="1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4"/>
      <c r="X23" s="15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</row>
    <row r="24" spans="1:60" ht="15.75" customHeight="1" x14ac:dyDescent="0.3">
      <c r="A24" s="1"/>
      <c r="B24" s="12">
        <v>20</v>
      </c>
      <c r="C24" s="42" t="s">
        <v>94</v>
      </c>
      <c r="D24" s="42"/>
      <c r="E24" s="42"/>
      <c r="F24" s="42"/>
      <c r="G24" s="41"/>
      <c r="H24" s="42"/>
      <c r="I24" s="42"/>
      <c r="J24" s="34"/>
      <c r="K24" s="16"/>
      <c r="L24" s="15"/>
      <c r="M24" s="15"/>
      <c r="N24" s="15"/>
      <c r="O24" s="14"/>
      <c r="P24" s="14"/>
      <c r="Q24" s="14"/>
      <c r="R24" s="14"/>
      <c r="S24" s="15"/>
      <c r="T24" s="15"/>
      <c r="U24" s="15"/>
      <c r="V24" s="15"/>
      <c r="W24" s="15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</row>
    <row r="25" spans="1:60" ht="15.75" customHeight="1" x14ac:dyDescent="0.3">
      <c r="A25" s="1"/>
      <c r="B25" s="12">
        <v>21</v>
      </c>
      <c r="C25" s="42" t="s">
        <v>95</v>
      </c>
      <c r="D25" s="42"/>
      <c r="E25" s="42"/>
      <c r="F25" s="42"/>
      <c r="G25" s="41"/>
      <c r="H25" s="42"/>
      <c r="I25" s="42"/>
      <c r="J25" s="34"/>
      <c r="K25" s="16"/>
      <c r="L25" s="15"/>
      <c r="M25" s="15"/>
      <c r="N25" s="15"/>
      <c r="O25" s="14"/>
      <c r="P25" s="14"/>
      <c r="Q25" s="14"/>
      <c r="R25" s="14"/>
      <c r="S25" s="15"/>
      <c r="T25" s="15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</row>
    <row r="26" spans="1:60" ht="15.75" customHeight="1" x14ac:dyDescent="0.3">
      <c r="A26" s="1"/>
      <c r="B26" s="12">
        <v>22</v>
      </c>
      <c r="C26" s="42" t="s">
        <v>96</v>
      </c>
      <c r="D26" s="43"/>
      <c r="E26" s="45"/>
      <c r="F26" s="46"/>
      <c r="G26" s="41"/>
      <c r="H26" s="49"/>
      <c r="I26" s="43"/>
      <c r="J26" s="36"/>
      <c r="K26" s="16"/>
      <c r="L26" s="15"/>
      <c r="M26" s="15"/>
      <c r="N26" s="14"/>
      <c r="O26" s="14"/>
      <c r="P26" s="14"/>
      <c r="Q26" s="14"/>
      <c r="R26" s="14"/>
      <c r="S26" s="15"/>
      <c r="T26" s="15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</row>
    <row r="27" spans="1:60" ht="15.75" customHeight="1" x14ac:dyDescent="0.3">
      <c r="A27" s="1"/>
      <c r="B27" s="12">
        <v>23</v>
      </c>
      <c r="C27" s="43" t="s">
        <v>91</v>
      </c>
      <c r="D27" s="43"/>
      <c r="E27" s="45">
        <v>289.8</v>
      </c>
      <c r="F27" s="46" t="s">
        <v>5</v>
      </c>
      <c r="G27" s="41">
        <v>3</v>
      </c>
      <c r="H27" s="47"/>
      <c r="I27" s="47"/>
      <c r="J27" s="36"/>
      <c r="K27" s="16"/>
      <c r="L27" s="15"/>
      <c r="M27" s="15"/>
      <c r="N27" s="14"/>
      <c r="O27" s="14"/>
      <c r="P27" s="14"/>
      <c r="Q27" s="15"/>
      <c r="R27" s="15"/>
      <c r="S27" s="15"/>
      <c r="T27" s="15"/>
      <c r="U27" s="14"/>
      <c r="V27" s="14"/>
      <c r="W27" s="14"/>
      <c r="X27" s="14"/>
      <c r="Y27" s="14"/>
      <c r="Z27" s="15"/>
      <c r="AA27" s="14"/>
      <c r="AB27" s="14"/>
      <c r="AC27" s="14"/>
      <c r="AD27" s="14"/>
      <c r="AE27" s="14"/>
      <c r="AF27" s="15"/>
      <c r="AG27" s="14"/>
      <c r="AH27" s="14"/>
      <c r="AI27" s="15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</row>
    <row r="28" spans="1:60" ht="15.75" customHeight="1" x14ac:dyDescent="0.3">
      <c r="A28" s="1"/>
      <c r="B28" s="12">
        <v>24</v>
      </c>
      <c r="C28" s="43" t="s">
        <v>97</v>
      </c>
      <c r="D28" s="43"/>
      <c r="E28" s="45">
        <v>2933.48</v>
      </c>
      <c r="F28" s="46" t="s">
        <v>4</v>
      </c>
      <c r="G28" s="41">
        <v>4</v>
      </c>
      <c r="H28" s="47"/>
      <c r="I28" s="47"/>
      <c r="J28" s="36"/>
      <c r="K28" s="16"/>
      <c r="L28" s="15"/>
      <c r="M28" s="15"/>
      <c r="N28" s="14"/>
      <c r="O28" s="14"/>
      <c r="P28" s="14"/>
      <c r="Q28" s="15"/>
      <c r="R28" s="15"/>
      <c r="S28" s="15"/>
      <c r="T28" s="15"/>
      <c r="U28" s="15"/>
      <c r="V28" s="15"/>
      <c r="W28" s="15"/>
      <c r="X28" s="14"/>
      <c r="Y28" s="14"/>
      <c r="Z28" s="14"/>
      <c r="AA28" s="14"/>
      <c r="AB28" s="14"/>
      <c r="AC28" s="14"/>
      <c r="AD28" s="14"/>
      <c r="AE28" s="14"/>
      <c r="AF28" s="15"/>
      <c r="AG28" s="14"/>
      <c r="AH28" s="14"/>
      <c r="AI28" s="15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</row>
    <row r="29" spans="1:60" ht="15.75" customHeight="1" x14ac:dyDescent="0.3">
      <c r="A29" s="1"/>
      <c r="B29" s="12">
        <v>25</v>
      </c>
      <c r="C29" s="43" t="s">
        <v>92</v>
      </c>
      <c r="D29" s="43"/>
      <c r="E29" s="45">
        <v>24.9</v>
      </c>
      <c r="F29" s="46" t="s">
        <v>3</v>
      </c>
      <c r="G29" s="41">
        <v>1</v>
      </c>
      <c r="H29" s="47"/>
      <c r="I29" s="47"/>
      <c r="J29" s="36"/>
      <c r="K29" s="16"/>
      <c r="L29" s="15"/>
      <c r="M29" s="15"/>
      <c r="N29" s="14"/>
      <c r="O29" s="14"/>
      <c r="P29" s="14"/>
      <c r="Q29" s="15"/>
      <c r="R29" s="15"/>
      <c r="S29" s="15"/>
      <c r="T29" s="15"/>
      <c r="U29" s="15"/>
      <c r="V29" s="15"/>
      <c r="W29" s="15"/>
      <c r="X29" s="15"/>
      <c r="Y29" s="14"/>
      <c r="Z29" s="15"/>
      <c r="AA29" s="15"/>
      <c r="AB29" s="15"/>
      <c r="AC29" s="15"/>
      <c r="AD29" s="15"/>
      <c r="AE29" s="15"/>
      <c r="AF29" s="14"/>
      <c r="AG29" s="14"/>
      <c r="AH29" s="15"/>
      <c r="AI29" s="14"/>
      <c r="AJ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5"/>
      <c r="BF29" s="14"/>
      <c r="BG29" s="14"/>
      <c r="BH29" s="14"/>
    </row>
    <row r="30" spans="1:60" ht="15.75" customHeight="1" x14ac:dyDescent="0.3">
      <c r="A30" s="1"/>
      <c r="B30" s="12">
        <v>26</v>
      </c>
      <c r="C30" s="43" t="s">
        <v>98</v>
      </c>
      <c r="D30" s="43"/>
      <c r="E30" s="45">
        <v>289.8</v>
      </c>
      <c r="F30" s="46" t="s">
        <v>5</v>
      </c>
      <c r="G30" s="41">
        <v>1</v>
      </c>
      <c r="H30" s="47"/>
      <c r="I30" s="47"/>
      <c r="J30" s="36"/>
      <c r="K30" s="16"/>
      <c r="L30" s="15"/>
      <c r="M30" s="15"/>
      <c r="N30" s="14"/>
      <c r="O30" s="14"/>
      <c r="P30" s="14"/>
      <c r="Q30" s="15"/>
      <c r="R30" s="15"/>
      <c r="S30" s="15"/>
      <c r="T30" s="15"/>
      <c r="U30" s="15"/>
      <c r="V30" s="15"/>
      <c r="W30" s="15"/>
      <c r="X30" s="15"/>
      <c r="Y30" s="14"/>
      <c r="Z30" s="14"/>
      <c r="AA30" s="15"/>
      <c r="AB30" s="15"/>
      <c r="AC30" s="15"/>
      <c r="AD30" s="15"/>
      <c r="AE30" s="15"/>
      <c r="AF30" s="15"/>
      <c r="AG30" s="15"/>
      <c r="AH30" s="14"/>
      <c r="AI30" s="15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5"/>
      <c r="BF30" s="14"/>
      <c r="BG30" s="14"/>
      <c r="BH30" s="14"/>
    </row>
    <row r="31" spans="1:60" ht="15.75" customHeight="1" x14ac:dyDescent="0.3">
      <c r="A31" s="1"/>
      <c r="B31" s="12">
        <v>27</v>
      </c>
      <c r="C31" s="42" t="s">
        <v>99</v>
      </c>
      <c r="D31" s="43"/>
      <c r="E31" s="45"/>
      <c r="F31" s="46"/>
      <c r="G31" s="41"/>
      <c r="H31" s="49"/>
      <c r="I31" s="43"/>
      <c r="J31" s="36"/>
      <c r="K31" s="16"/>
      <c r="L31" s="15"/>
      <c r="M31" s="15"/>
      <c r="N31" s="14"/>
      <c r="O31" s="14"/>
      <c r="P31" s="14"/>
      <c r="Q31" s="14"/>
      <c r="R31" s="15"/>
      <c r="S31" s="15"/>
      <c r="T31" s="15"/>
      <c r="U31" s="15"/>
      <c r="V31" s="15"/>
      <c r="W31" s="14"/>
      <c r="X31" s="14"/>
      <c r="Y31" s="14"/>
      <c r="Z31" s="14"/>
      <c r="AA31" s="14"/>
      <c r="AB31" s="15"/>
      <c r="AC31" s="15"/>
      <c r="AD31" s="15"/>
      <c r="AE31" s="15"/>
      <c r="AF31" s="15"/>
      <c r="AG31" s="15"/>
      <c r="AH31" s="15"/>
      <c r="AI31" s="15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5"/>
      <c r="BF31" s="14"/>
      <c r="BG31" s="14"/>
      <c r="BH31" s="14"/>
    </row>
    <row r="32" spans="1:60" ht="15.75" customHeight="1" x14ac:dyDescent="0.3">
      <c r="A32" s="1"/>
      <c r="B32" s="12">
        <v>28</v>
      </c>
      <c r="C32" s="43" t="s">
        <v>91</v>
      </c>
      <c r="D32" s="43"/>
      <c r="E32" s="45">
        <v>468.06</v>
      </c>
      <c r="F32" s="46" t="s">
        <v>5</v>
      </c>
      <c r="G32" s="41">
        <v>3</v>
      </c>
      <c r="H32" s="47"/>
      <c r="I32" s="47"/>
      <c r="J32" s="36"/>
      <c r="K32" s="16"/>
      <c r="L32" s="15"/>
      <c r="M32" s="15"/>
      <c r="N32" s="14"/>
      <c r="O32" s="14"/>
      <c r="P32" s="14"/>
      <c r="Q32" s="14"/>
      <c r="R32" s="15"/>
      <c r="S32" s="15"/>
      <c r="T32" s="15"/>
      <c r="U32" s="15"/>
      <c r="V32" s="15"/>
      <c r="W32" s="14"/>
      <c r="X32" s="14"/>
      <c r="Y32" s="14"/>
      <c r="Z32" s="15"/>
      <c r="AA32" s="15"/>
      <c r="AB32" s="15"/>
      <c r="AC32" s="15"/>
      <c r="AD32" s="15"/>
      <c r="AE32" s="15"/>
      <c r="AF32" s="14"/>
      <c r="AG32" s="15"/>
      <c r="AH32" s="14"/>
      <c r="AI32" s="15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5"/>
      <c r="BF32" s="14"/>
      <c r="BG32" s="14"/>
      <c r="BH32" s="14"/>
    </row>
    <row r="33" spans="1:60" ht="15.75" customHeight="1" x14ac:dyDescent="0.3">
      <c r="A33" s="1"/>
      <c r="B33" s="12">
        <v>29</v>
      </c>
      <c r="C33" s="43" t="s">
        <v>97</v>
      </c>
      <c r="D33" s="43"/>
      <c r="E33" s="45">
        <v>8828.7900000000009</v>
      </c>
      <c r="F33" s="46" t="s">
        <v>4</v>
      </c>
      <c r="G33" s="41">
        <v>6</v>
      </c>
      <c r="H33" s="47"/>
      <c r="I33" s="47"/>
      <c r="J33" s="36"/>
      <c r="K33" s="16"/>
      <c r="L33" s="15"/>
      <c r="M33" s="15"/>
      <c r="N33" s="14"/>
      <c r="O33" s="14"/>
      <c r="P33" s="14"/>
      <c r="Q33" s="14"/>
      <c r="R33" s="15"/>
      <c r="S33" s="15"/>
      <c r="T33" s="15"/>
      <c r="U33" s="15"/>
      <c r="V33" s="15"/>
      <c r="W33" s="15"/>
      <c r="X33" s="15"/>
      <c r="Y33" s="15"/>
      <c r="Z33" s="14"/>
      <c r="AA33" s="14"/>
      <c r="AB33" s="14"/>
      <c r="AC33" s="14"/>
      <c r="AD33" s="14"/>
      <c r="AE33" s="14"/>
      <c r="AF33" s="14"/>
      <c r="AG33" s="15"/>
      <c r="AH33" s="14"/>
      <c r="AI33" s="15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5"/>
      <c r="BF33" s="14"/>
      <c r="BG33" s="14"/>
      <c r="BH33" s="14"/>
    </row>
    <row r="34" spans="1:60" ht="15.75" customHeight="1" x14ac:dyDescent="0.3">
      <c r="A34" s="1"/>
      <c r="B34" s="12">
        <v>30</v>
      </c>
      <c r="C34" s="43" t="s">
        <v>92</v>
      </c>
      <c r="D34" s="43"/>
      <c r="E34" s="45">
        <v>112.34</v>
      </c>
      <c r="F34" s="46" t="s">
        <v>3</v>
      </c>
      <c r="G34" s="41">
        <v>2</v>
      </c>
      <c r="H34" s="47"/>
      <c r="I34" s="47"/>
      <c r="J34" s="36"/>
      <c r="K34" s="16"/>
      <c r="L34" s="15"/>
      <c r="M34" s="15"/>
      <c r="N34" s="14"/>
      <c r="O34" s="14"/>
      <c r="P34" s="14"/>
      <c r="Q34" s="14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4"/>
      <c r="AG34" s="14"/>
      <c r="AH34" s="14"/>
      <c r="AI34" s="15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5"/>
      <c r="BF34" s="14"/>
      <c r="BG34" s="14"/>
      <c r="BH34" s="14"/>
    </row>
    <row r="35" spans="1:60" ht="15.75" customHeight="1" x14ac:dyDescent="0.3">
      <c r="A35" s="1"/>
      <c r="B35" s="12">
        <v>31</v>
      </c>
      <c r="C35" s="43" t="s">
        <v>98</v>
      </c>
      <c r="D35" s="43"/>
      <c r="E35" s="45">
        <v>468.06</v>
      </c>
      <c r="F35" s="46" t="s">
        <v>5</v>
      </c>
      <c r="G35" s="41">
        <v>1</v>
      </c>
      <c r="H35" s="47"/>
      <c r="I35" s="47"/>
      <c r="J35" s="36"/>
      <c r="K35" s="16"/>
      <c r="L35" s="15"/>
      <c r="M35" s="15"/>
      <c r="N35" s="14"/>
      <c r="O35" s="14"/>
      <c r="P35" s="14"/>
      <c r="Q35" s="14"/>
      <c r="R35" s="15"/>
      <c r="S35" s="15"/>
      <c r="T35" s="15"/>
      <c r="U35" s="15"/>
      <c r="V35" s="15"/>
      <c r="W35" s="15"/>
      <c r="X35" s="15"/>
      <c r="Y35" s="15"/>
      <c r="Z35" s="14"/>
      <c r="AA35" s="15"/>
      <c r="AB35" s="15"/>
      <c r="AC35" s="15"/>
      <c r="AD35" s="15"/>
      <c r="AE35" s="15"/>
      <c r="AF35" s="15"/>
      <c r="AG35" s="15"/>
      <c r="AH35" s="14"/>
      <c r="AI35" s="15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5"/>
      <c r="BF35" s="14"/>
      <c r="BG35" s="14"/>
      <c r="BH35" s="14"/>
    </row>
    <row r="36" spans="1:60" ht="15.75" customHeight="1" x14ac:dyDescent="0.3">
      <c r="A36" s="1"/>
      <c r="B36" s="12">
        <v>32</v>
      </c>
      <c r="C36" s="42" t="s">
        <v>100</v>
      </c>
      <c r="D36" s="43"/>
      <c r="E36" s="45"/>
      <c r="F36" s="46"/>
      <c r="G36" s="41"/>
      <c r="H36" s="49"/>
      <c r="I36" s="43"/>
      <c r="J36" s="36"/>
      <c r="K36" s="16"/>
      <c r="L36" s="15"/>
      <c r="M36" s="15"/>
      <c r="N36" s="14"/>
      <c r="O36" s="14"/>
      <c r="P36" s="14"/>
      <c r="Q36" s="14"/>
      <c r="R36" s="15"/>
      <c r="S36" s="15"/>
      <c r="T36" s="15"/>
      <c r="U36" s="15"/>
      <c r="V36" s="15"/>
      <c r="W36" s="15"/>
      <c r="X36" s="15"/>
      <c r="Y36" s="15"/>
      <c r="Z36" s="14"/>
      <c r="AA36" s="14"/>
      <c r="AB36" s="15"/>
      <c r="AC36" s="15"/>
      <c r="AD36" s="15"/>
      <c r="AE36" s="15"/>
      <c r="AF36" s="14"/>
      <c r="AG36" s="14"/>
      <c r="AH36" s="14"/>
      <c r="AI36" s="14"/>
      <c r="AJ36" s="14"/>
      <c r="AK36" s="14"/>
      <c r="AL36" s="15"/>
      <c r="AM36" s="14"/>
      <c r="AN36" s="14"/>
      <c r="AO36" s="14"/>
      <c r="AP36" s="14"/>
      <c r="AQ36" s="14"/>
      <c r="AR36" s="14"/>
      <c r="AS36" s="14"/>
      <c r="AT36" s="15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5"/>
      <c r="BF36" s="14"/>
      <c r="BG36" s="14"/>
      <c r="BH36" s="14"/>
    </row>
    <row r="37" spans="1:60" ht="15.75" customHeight="1" x14ac:dyDescent="0.3">
      <c r="A37" s="1"/>
      <c r="B37" s="12">
        <v>33</v>
      </c>
      <c r="C37" s="43" t="s">
        <v>91</v>
      </c>
      <c r="D37" s="43"/>
      <c r="E37" s="45">
        <v>289.8</v>
      </c>
      <c r="F37" s="46" t="s">
        <v>5</v>
      </c>
      <c r="G37" s="41">
        <v>1</v>
      </c>
      <c r="H37" s="47"/>
      <c r="I37" s="47"/>
      <c r="J37" s="36"/>
      <c r="K37" s="16"/>
      <c r="L37" s="15"/>
      <c r="M37" s="15"/>
      <c r="N37" s="14"/>
      <c r="O37" s="14"/>
      <c r="P37" s="14"/>
      <c r="Q37" s="14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4"/>
      <c r="AG37" s="14"/>
      <c r="AH37" s="14"/>
      <c r="AI37" s="14"/>
      <c r="AJ37" s="15"/>
      <c r="AK37" s="15"/>
      <c r="AL37" s="14"/>
      <c r="AM37" s="14"/>
      <c r="AN37" s="14"/>
      <c r="AO37" s="15"/>
      <c r="AP37" s="15"/>
      <c r="AQ37" s="15"/>
      <c r="AR37" s="14"/>
      <c r="AS37" s="15"/>
      <c r="AT37" s="15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5"/>
      <c r="BF37" s="14"/>
      <c r="BG37" s="14"/>
      <c r="BH37" s="14"/>
    </row>
    <row r="38" spans="1:60" ht="15.75" customHeight="1" x14ac:dyDescent="0.3">
      <c r="A38" s="1"/>
      <c r="B38" s="12">
        <v>34</v>
      </c>
      <c r="C38" s="43" t="s">
        <v>97</v>
      </c>
      <c r="D38" s="43"/>
      <c r="E38" s="45">
        <v>2933.48</v>
      </c>
      <c r="F38" s="46" t="s">
        <v>4</v>
      </c>
      <c r="G38" s="41">
        <v>2</v>
      </c>
      <c r="H38" s="47"/>
      <c r="I38" s="47"/>
      <c r="J38" s="36"/>
      <c r="K38" s="16"/>
      <c r="L38" s="15"/>
      <c r="M38" s="15"/>
      <c r="N38" s="14"/>
      <c r="O38" s="14"/>
      <c r="P38" s="14"/>
      <c r="Q38" s="14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4"/>
      <c r="AG38" s="14"/>
      <c r="AH38" s="14"/>
      <c r="AI38" s="14"/>
      <c r="AJ38" s="15"/>
      <c r="AK38" s="15"/>
      <c r="AL38" s="15"/>
      <c r="AM38" s="14"/>
      <c r="AN38" s="14"/>
      <c r="AO38" s="14"/>
      <c r="AP38" s="15"/>
      <c r="AQ38" s="14"/>
      <c r="AR38" s="15"/>
      <c r="AS38" s="15"/>
      <c r="AT38" s="15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5"/>
      <c r="BF38" s="14"/>
      <c r="BG38" s="14"/>
      <c r="BH38" s="14"/>
    </row>
    <row r="39" spans="1:60" ht="15.75" customHeight="1" x14ac:dyDescent="0.3">
      <c r="A39" s="1"/>
      <c r="B39" s="12">
        <v>35</v>
      </c>
      <c r="C39" s="43" t="s">
        <v>92</v>
      </c>
      <c r="D39" s="43"/>
      <c r="E39" s="45">
        <v>24.9</v>
      </c>
      <c r="F39" s="46" t="s">
        <v>3</v>
      </c>
      <c r="G39" s="41">
        <v>2</v>
      </c>
      <c r="H39" s="47"/>
      <c r="I39" s="47"/>
      <c r="J39" s="36"/>
      <c r="K39" s="16"/>
      <c r="L39" s="15"/>
      <c r="M39" s="15"/>
      <c r="N39" s="14"/>
      <c r="O39" s="14"/>
      <c r="P39" s="14"/>
      <c r="Q39" s="14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4"/>
      <c r="AH39" s="15"/>
      <c r="AI39" s="14"/>
      <c r="AJ39" s="15"/>
      <c r="AK39" s="15"/>
      <c r="AL39" s="15"/>
      <c r="AM39" s="14"/>
      <c r="AN39" s="14"/>
      <c r="AO39" s="15"/>
      <c r="AP39" s="17"/>
      <c r="AQ39" s="14"/>
      <c r="AR39" s="14"/>
      <c r="AS39" s="15"/>
      <c r="AT39" s="15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5"/>
      <c r="BF39" s="14"/>
      <c r="BG39" s="14"/>
      <c r="BH39" s="14"/>
    </row>
    <row r="40" spans="1:60" ht="15.75" customHeight="1" x14ac:dyDescent="0.3">
      <c r="A40" s="1"/>
      <c r="B40" s="12">
        <v>36</v>
      </c>
      <c r="C40" s="43" t="s">
        <v>98</v>
      </c>
      <c r="D40" s="43"/>
      <c r="E40" s="45">
        <v>289.8</v>
      </c>
      <c r="F40" s="46" t="s">
        <v>5</v>
      </c>
      <c r="G40" s="41">
        <v>1</v>
      </c>
      <c r="H40" s="47"/>
      <c r="I40" s="47"/>
      <c r="J40" s="36"/>
      <c r="K40" s="16"/>
      <c r="L40" s="15"/>
      <c r="M40" s="15"/>
      <c r="N40" s="14"/>
      <c r="O40" s="14"/>
      <c r="P40" s="14"/>
      <c r="Q40" s="14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4"/>
      <c r="AG40" s="15"/>
      <c r="AH40" s="15"/>
      <c r="AI40" s="14"/>
      <c r="AJ40" s="15"/>
      <c r="AK40" s="15"/>
      <c r="AL40" s="15"/>
      <c r="AM40" s="15"/>
      <c r="AN40" s="14"/>
      <c r="AO40" s="15"/>
      <c r="AP40" s="15"/>
      <c r="AQ40" s="14"/>
      <c r="AR40" s="14"/>
      <c r="AS40" s="15"/>
      <c r="AT40" s="15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5"/>
      <c r="BF40" s="14"/>
      <c r="BG40" s="14"/>
      <c r="BH40" s="14"/>
    </row>
    <row r="41" spans="1:60" ht="15.75" customHeight="1" x14ac:dyDescent="0.3">
      <c r="A41" s="1"/>
      <c r="B41" s="12">
        <v>37</v>
      </c>
      <c r="C41" s="42" t="s">
        <v>101</v>
      </c>
      <c r="D41" s="43"/>
      <c r="E41" s="45"/>
      <c r="F41" s="46"/>
      <c r="G41" s="41"/>
      <c r="H41" s="49"/>
      <c r="I41" s="43"/>
      <c r="J41" s="36"/>
      <c r="K41" s="18"/>
      <c r="L41" s="15"/>
      <c r="M41" s="14"/>
      <c r="N41" s="14"/>
      <c r="O41" s="14"/>
      <c r="P41" s="14"/>
      <c r="Q41" s="14"/>
      <c r="R41" s="15"/>
      <c r="S41" s="15"/>
      <c r="T41" s="15"/>
      <c r="U41" s="15"/>
      <c r="V41" s="15"/>
      <c r="W41" s="14"/>
      <c r="X41" s="15"/>
      <c r="Y41" s="14"/>
      <c r="Z41" s="14"/>
      <c r="AA41" s="15"/>
      <c r="AB41" s="15"/>
      <c r="AC41" s="15"/>
      <c r="AD41" s="15"/>
      <c r="AE41" s="15"/>
      <c r="AF41" s="14"/>
      <c r="AG41" s="14"/>
      <c r="AH41" s="14"/>
      <c r="AI41" s="14"/>
      <c r="AJ41" s="14"/>
      <c r="AK41" s="15"/>
      <c r="AL41" s="14"/>
      <c r="AM41" s="14"/>
      <c r="AN41" s="14"/>
      <c r="AO41" s="14"/>
      <c r="AP41" s="15"/>
      <c r="AQ41" s="14"/>
      <c r="AR41" s="14"/>
      <c r="AS41" s="15"/>
      <c r="AT41" s="15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5"/>
      <c r="BF41" s="14"/>
      <c r="BG41" s="14"/>
      <c r="BH41" s="14"/>
    </row>
    <row r="42" spans="1:60" ht="15.75" customHeight="1" x14ac:dyDescent="0.3">
      <c r="A42" s="1"/>
      <c r="B42" s="12">
        <v>38</v>
      </c>
      <c r="C42" s="43" t="s">
        <v>91</v>
      </c>
      <c r="D42" s="43"/>
      <c r="E42" s="45">
        <v>322.56</v>
      </c>
      <c r="F42" s="46" t="s">
        <v>5</v>
      </c>
      <c r="G42" s="41">
        <v>1</v>
      </c>
      <c r="H42" s="47"/>
      <c r="I42" s="47"/>
      <c r="J42" s="36"/>
      <c r="K42" s="18"/>
      <c r="L42" s="15"/>
      <c r="M42" s="14"/>
      <c r="N42" s="1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4"/>
      <c r="AA42" s="15"/>
      <c r="AB42" s="15"/>
      <c r="AC42" s="15"/>
      <c r="AD42" s="15"/>
      <c r="AE42" s="15"/>
      <c r="AF42" s="15"/>
      <c r="AG42" s="15"/>
      <c r="AH42" s="17"/>
      <c r="AI42" s="14"/>
      <c r="AJ42" s="14"/>
      <c r="AK42" s="14"/>
      <c r="AL42" s="15"/>
      <c r="AM42" s="15"/>
      <c r="AN42" s="14"/>
      <c r="AO42" s="14"/>
      <c r="AP42" s="15"/>
      <c r="AQ42" s="14"/>
      <c r="AR42" s="15"/>
      <c r="AS42" s="14"/>
      <c r="AT42" s="15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5"/>
      <c r="BF42" s="14"/>
      <c r="BG42" s="14"/>
      <c r="BH42" s="14"/>
    </row>
    <row r="43" spans="1:60" ht="15.75" customHeight="1" x14ac:dyDescent="0.3">
      <c r="A43" s="1"/>
      <c r="B43" s="12">
        <v>39</v>
      </c>
      <c r="C43" s="43" t="s">
        <v>97</v>
      </c>
      <c r="D43" s="43"/>
      <c r="E43" s="45">
        <v>5573</v>
      </c>
      <c r="F43" s="46" t="s">
        <v>4</v>
      </c>
      <c r="G43" s="41">
        <v>3</v>
      </c>
      <c r="H43" s="47"/>
      <c r="I43" s="47"/>
      <c r="J43" s="36"/>
      <c r="K43" s="18"/>
      <c r="L43" s="15"/>
      <c r="M43" s="14"/>
      <c r="N43" s="1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/>
      <c r="AA43" s="15"/>
      <c r="AB43" s="15"/>
      <c r="AC43" s="15"/>
      <c r="AD43" s="15"/>
      <c r="AE43" s="15"/>
      <c r="AF43" s="15"/>
      <c r="AG43" s="17"/>
      <c r="AH43" s="14"/>
      <c r="AI43" s="14"/>
      <c r="AJ43" s="14"/>
      <c r="AK43" s="17"/>
      <c r="AL43" s="15"/>
      <c r="AM43" s="15"/>
      <c r="AN43" s="14"/>
      <c r="AO43" s="14"/>
      <c r="AP43" s="15"/>
      <c r="AQ43" s="14"/>
      <c r="AR43" s="15"/>
      <c r="AS43" s="14"/>
      <c r="AT43" s="15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5"/>
      <c r="BF43" s="14"/>
      <c r="BG43" s="14"/>
      <c r="BH43" s="14"/>
    </row>
    <row r="44" spans="1:60" ht="15.75" customHeight="1" x14ac:dyDescent="0.3">
      <c r="A44" s="1"/>
      <c r="B44" s="12">
        <v>40</v>
      </c>
      <c r="C44" s="43" t="s">
        <v>92</v>
      </c>
      <c r="D44" s="43"/>
      <c r="E44" s="43">
        <v>23.33</v>
      </c>
      <c r="F44" s="46" t="s">
        <v>3</v>
      </c>
      <c r="G44" s="41">
        <v>1</v>
      </c>
      <c r="H44" s="47"/>
      <c r="I44" s="47"/>
      <c r="J44" s="36"/>
      <c r="K44" s="18"/>
      <c r="L44" s="15"/>
      <c r="M44" s="14"/>
      <c r="N44" s="1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/>
      <c r="AA44" s="15"/>
      <c r="AB44" s="15"/>
      <c r="AC44" s="15"/>
      <c r="AD44" s="15"/>
      <c r="AE44" s="15"/>
      <c r="AF44" s="15"/>
      <c r="AG44" s="15"/>
      <c r="AH44" s="14"/>
      <c r="AI44" s="15"/>
      <c r="AJ44" s="15"/>
      <c r="AK44" s="14"/>
      <c r="AL44" s="15"/>
      <c r="AM44" s="15"/>
      <c r="AN44" s="14"/>
      <c r="AO44" s="14"/>
      <c r="AP44" s="15"/>
      <c r="AQ44" s="14"/>
      <c r="AR44" s="15"/>
      <c r="AS44" s="14"/>
      <c r="AT44" s="15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5"/>
      <c r="BF44" s="14"/>
      <c r="BG44" s="14"/>
      <c r="BH44" s="14"/>
    </row>
    <row r="45" spans="1:60" ht="15.75" customHeight="1" x14ac:dyDescent="0.3">
      <c r="A45" s="1"/>
      <c r="B45" s="12">
        <v>41</v>
      </c>
      <c r="C45" s="43" t="s">
        <v>98</v>
      </c>
      <c r="D45" s="43"/>
      <c r="E45" s="45">
        <v>322.56</v>
      </c>
      <c r="F45" s="46" t="s">
        <v>5</v>
      </c>
      <c r="G45" s="41">
        <v>1</v>
      </c>
      <c r="H45" s="47"/>
      <c r="I45" s="47"/>
      <c r="J45" s="36"/>
      <c r="K45" s="18"/>
      <c r="L45" s="15"/>
      <c r="M45" s="14"/>
      <c r="N45" s="1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/>
      <c r="AA45" s="15"/>
      <c r="AB45" s="15"/>
      <c r="AC45" s="15"/>
      <c r="AD45" s="15"/>
      <c r="AE45" s="15"/>
      <c r="AF45" s="15"/>
      <c r="AG45" s="15"/>
      <c r="AH45" s="14"/>
      <c r="AI45" s="15"/>
      <c r="AJ45" s="15"/>
      <c r="AK45" s="15"/>
      <c r="AL45" s="14"/>
      <c r="AM45" s="15"/>
      <c r="AN45" s="14"/>
      <c r="AO45" s="14"/>
      <c r="AP45" s="15"/>
      <c r="AQ45" s="14"/>
      <c r="AR45" s="15"/>
      <c r="AS45" s="14"/>
      <c r="AT45" s="15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5"/>
      <c r="BF45" s="14"/>
      <c r="BG45" s="14"/>
      <c r="BH45" s="14"/>
    </row>
    <row r="46" spans="1:60" ht="15.75" customHeight="1" x14ac:dyDescent="0.3">
      <c r="A46" s="1"/>
      <c r="B46" s="12">
        <v>42</v>
      </c>
      <c r="C46" s="42" t="s">
        <v>102</v>
      </c>
      <c r="D46" s="42"/>
      <c r="E46" s="42"/>
      <c r="F46" s="42"/>
      <c r="G46" s="41"/>
      <c r="H46" s="42"/>
      <c r="I46" s="42"/>
      <c r="J46" s="34"/>
      <c r="K46" s="18"/>
      <c r="L46" s="15"/>
      <c r="M46" s="14"/>
      <c r="N46" s="14"/>
      <c r="O46" s="14"/>
      <c r="P46" s="14"/>
      <c r="Q46" s="14"/>
      <c r="R46" s="15"/>
      <c r="S46" s="15"/>
      <c r="T46" s="15"/>
      <c r="U46" s="15"/>
      <c r="V46" s="15"/>
      <c r="W46" s="14"/>
      <c r="X46" s="14"/>
      <c r="Y46" s="14"/>
      <c r="Z46" s="14"/>
      <c r="AA46" s="14"/>
      <c r="AB46" s="15"/>
      <c r="AC46" s="15"/>
      <c r="AD46" s="15"/>
      <c r="AE46" s="15"/>
      <c r="AF46" s="15"/>
      <c r="AG46" s="14"/>
      <c r="AH46" s="14"/>
      <c r="AI46" s="14"/>
      <c r="AJ46" s="14"/>
      <c r="AK46" s="14"/>
      <c r="AL46" s="15"/>
      <c r="AM46" s="14"/>
      <c r="AN46" s="14"/>
      <c r="AO46" s="14"/>
      <c r="AP46" s="15"/>
      <c r="AQ46" s="14"/>
      <c r="AR46" s="15"/>
      <c r="AS46" s="14"/>
      <c r="AT46" s="15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5"/>
      <c r="BF46" s="14"/>
      <c r="BG46" s="14"/>
      <c r="BH46" s="14"/>
    </row>
    <row r="47" spans="1:60" ht="15.75" customHeight="1" x14ac:dyDescent="0.3">
      <c r="A47" s="1"/>
      <c r="B47" s="12">
        <v>43</v>
      </c>
      <c r="C47" s="42" t="s">
        <v>99</v>
      </c>
      <c r="D47" s="43"/>
      <c r="E47" s="43"/>
      <c r="F47" s="46"/>
      <c r="G47" s="41"/>
      <c r="H47" s="49"/>
      <c r="I47" s="43"/>
      <c r="J47" s="36"/>
      <c r="K47" s="18"/>
      <c r="L47" s="15"/>
      <c r="M47" s="14"/>
      <c r="N47" s="14"/>
      <c r="O47" s="14"/>
      <c r="P47" s="14"/>
      <c r="Q47" s="14"/>
      <c r="R47" s="15"/>
      <c r="S47" s="15"/>
      <c r="T47" s="15"/>
      <c r="U47" s="15"/>
      <c r="V47" s="15"/>
      <c r="W47" s="14"/>
      <c r="X47" s="14"/>
      <c r="Y47" s="14"/>
      <c r="Z47" s="14"/>
      <c r="AA47" s="14"/>
      <c r="AB47" s="15"/>
      <c r="AC47" s="15"/>
      <c r="AD47" s="15"/>
      <c r="AE47" s="15"/>
      <c r="AF47" s="15"/>
      <c r="AG47" s="14"/>
      <c r="AH47" s="14"/>
      <c r="AI47" s="14"/>
      <c r="AJ47" s="15"/>
      <c r="AK47" s="14"/>
      <c r="AL47" s="15"/>
      <c r="AM47" s="14"/>
      <c r="AN47" s="14"/>
      <c r="AO47" s="15"/>
      <c r="AP47" s="15"/>
      <c r="AQ47" s="14"/>
      <c r="AR47" s="15"/>
      <c r="AS47" s="14"/>
      <c r="AT47" s="15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5"/>
      <c r="BF47" s="14"/>
      <c r="BG47" s="14"/>
      <c r="BH47" s="14"/>
    </row>
    <row r="48" spans="1:60" ht="15.75" customHeight="1" x14ac:dyDescent="0.3">
      <c r="A48" s="1"/>
      <c r="B48" s="12">
        <v>44</v>
      </c>
      <c r="C48" s="43" t="s">
        <v>91</v>
      </c>
      <c r="D48" s="43"/>
      <c r="E48" s="45">
        <v>468.06</v>
      </c>
      <c r="F48" s="46" t="s">
        <v>5</v>
      </c>
      <c r="G48" s="41">
        <v>1</v>
      </c>
      <c r="H48" s="47"/>
      <c r="I48" s="47"/>
      <c r="J48" s="36"/>
      <c r="K48" s="18"/>
      <c r="L48" s="15"/>
      <c r="M48" s="14"/>
      <c r="N48" s="14"/>
      <c r="O48" s="14"/>
      <c r="P48" s="14"/>
      <c r="Q48" s="14"/>
      <c r="R48" s="15"/>
      <c r="S48" s="15"/>
      <c r="T48" s="15"/>
      <c r="U48" s="15"/>
      <c r="V48" s="15"/>
      <c r="W48" s="14"/>
      <c r="X48" s="14"/>
      <c r="Y48" s="14"/>
      <c r="Z48" s="15"/>
      <c r="AA48" s="15"/>
      <c r="AB48" s="15"/>
      <c r="AC48" s="15"/>
      <c r="AD48" s="15"/>
      <c r="AE48" s="15"/>
      <c r="AF48" s="15"/>
      <c r="AG48" s="15"/>
      <c r="AH48" s="14"/>
      <c r="AI48" s="15"/>
      <c r="AJ48" s="15"/>
      <c r="AK48" s="15"/>
      <c r="AL48" s="14"/>
      <c r="AM48" s="14"/>
      <c r="AN48" s="15"/>
      <c r="AO48" s="14"/>
      <c r="AP48" s="15"/>
      <c r="AQ48" s="14"/>
      <c r="AR48" s="15"/>
      <c r="AS48" s="15"/>
      <c r="AT48" s="15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5"/>
      <c r="BF48" s="14"/>
      <c r="BG48" s="14"/>
      <c r="BH48" s="14"/>
    </row>
    <row r="49" spans="1:60" ht="15.75" customHeight="1" x14ac:dyDescent="0.3">
      <c r="A49" s="1"/>
      <c r="B49" s="12">
        <v>45</v>
      </c>
      <c r="C49" s="43" t="s">
        <v>97</v>
      </c>
      <c r="D49" s="43"/>
      <c r="E49" s="45">
        <v>8828.7900000000009</v>
      </c>
      <c r="F49" s="46" t="s">
        <v>4</v>
      </c>
      <c r="G49" s="41">
        <v>4</v>
      </c>
      <c r="H49" s="47"/>
      <c r="I49" s="47"/>
      <c r="J49" s="36"/>
      <c r="K49" s="18"/>
      <c r="L49" s="15"/>
      <c r="M49" s="14"/>
      <c r="N49" s="14"/>
      <c r="O49" s="14"/>
      <c r="P49" s="14"/>
      <c r="Q49" s="14"/>
      <c r="R49" s="15"/>
      <c r="S49" s="15"/>
      <c r="T49" s="15"/>
      <c r="U49" s="15"/>
      <c r="V49" s="15"/>
      <c r="W49" s="14"/>
      <c r="X49" s="14"/>
      <c r="Y49" s="14"/>
      <c r="Z49" s="15"/>
      <c r="AA49" s="15"/>
      <c r="AB49" s="15"/>
      <c r="AC49" s="15"/>
      <c r="AD49" s="15"/>
      <c r="AE49" s="15"/>
      <c r="AF49" s="15"/>
      <c r="AG49" s="15"/>
      <c r="AH49" s="14"/>
      <c r="AI49" s="15"/>
      <c r="AJ49" s="15"/>
      <c r="AK49" s="15"/>
      <c r="AL49" s="15"/>
      <c r="AM49" s="14"/>
      <c r="AN49" s="14"/>
      <c r="AO49" s="14"/>
      <c r="AP49" s="14"/>
      <c r="AQ49" s="15"/>
      <c r="AR49" s="15"/>
      <c r="AS49" s="15"/>
      <c r="AT49" s="15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5"/>
      <c r="BF49" s="14"/>
      <c r="BG49" s="14"/>
      <c r="BH49" s="14"/>
    </row>
    <row r="50" spans="1:60" ht="15.75" customHeight="1" x14ac:dyDescent="0.3">
      <c r="A50" s="1"/>
      <c r="B50" s="12">
        <v>46</v>
      </c>
      <c r="C50" s="43" t="s">
        <v>92</v>
      </c>
      <c r="D50" s="43"/>
      <c r="E50" s="45">
        <v>112.34</v>
      </c>
      <c r="F50" s="46" t="s">
        <v>3</v>
      </c>
      <c r="G50" s="41">
        <v>1</v>
      </c>
      <c r="H50" s="47"/>
      <c r="I50" s="47"/>
      <c r="J50" s="36"/>
      <c r="K50" s="18"/>
      <c r="L50" s="15"/>
      <c r="M50" s="14"/>
      <c r="N50" s="14"/>
      <c r="O50" s="14"/>
      <c r="P50" s="14"/>
      <c r="Q50" s="14"/>
      <c r="R50" s="15"/>
      <c r="S50" s="15"/>
      <c r="T50" s="15"/>
      <c r="U50" s="15"/>
      <c r="V50" s="15"/>
      <c r="W50" s="14"/>
      <c r="X50" s="14"/>
      <c r="Y50" s="14"/>
      <c r="Z50" s="15"/>
      <c r="AA50" s="15"/>
      <c r="AB50" s="15"/>
      <c r="AC50" s="15"/>
      <c r="AD50" s="15"/>
      <c r="AE50" s="15"/>
      <c r="AF50" s="15"/>
      <c r="AG50" s="15"/>
      <c r="AH50" s="14"/>
      <c r="AI50" s="15"/>
      <c r="AJ50" s="15"/>
      <c r="AK50" s="15"/>
      <c r="AL50" s="14"/>
      <c r="AM50" s="14"/>
      <c r="AN50" s="14"/>
      <c r="AO50" s="15"/>
      <c r="AP50" s="15"/>
      <c r="AQ50" s="14"/>
      <c r="AR50" s="14"/>
      <c r="AS50" s="15"/>
      <c r="AT50" s="15"/>
      <c r="AU50" s="15"/>
      <c r="AV50" s="15"/>
      <c r="AW50" s="14"/>
      <c r="AX50" s="14"/>
      <c r="AY50" s="14"/>
      <c r="AZ50" s="14"/>
      <c r="BA50" s="14"/>
      <c r="BB50" s="14"/>
      <c r="BC50" s="14"/>
      <c r="BD50" s="14"/>
      <c r="BE50" s="15"/>
      <c r="BF50" s="14"/>
      <c r="BG50" s="14"/>
      <c r="BH50" s="14"/>
    </row>
    <row r="51" spans="1:60" ht="15.75" customHeight="1" x14ac:dyDescent="0.3">
      <c r="A51" s="1"/>
      <c r="B51" s="12">
        <v>47</v>
      </c>
      <c r="C51" s="43" t="s">
        <v>98</v>
      </c>
      <c r="D51" s="43"/>
      <c r="E51" s="45">
        <v>468.06</v>
      </c>
      <c r="F51" s="46" t="s">
        <v>5</v>
      </c>
      <c r="G51" s="41">
        <v>1</v>
      </c>
      <c r="H51" s="47"/>
      <c r="I51" s="47"/>
      <c r="J51" s="36"/>
      <c r="K51" s="18"/>
      <c r="L51" s="15"/>
      <c r="M51" s="14"/>
      <c r="N51" s="14"/>
      <c r="O51" s="14"/>
      <c r="P51" s="14"/>
      <c r="Q51" s="14"/>
      <c r="R51" s="15"/>
      <c r="S51" s="15"/>
      <c r="T51" s="15"/>
      <c r="U51" s="15"/>
      <c r="V51" s="15"/>
      <c r="W51" s="14"/>
      <c r="X51" s="14"/>
      <c r="Y51" s="14"/>
      <c r="Z51" s="15"/>
      <c r="AA51" s="15"/>
      <c r="AB51" s="15"/>
      <c r="AC51" s="15"/>
      <c r="AD51" s="15"/>
      <c r="AE51" s="15"/>
      <c r="AF51" s="15"/>
      <c r="AG51" s="15"/>
      <c r="AH51" s="14"/>
      <c r="AI51" s="15"/>
      <c r="AJ51" s="15"/>
      <c r="AK51" s="15"/>
      <c r="AL51" s="14"/>
      <c r="AM51" s="14"/>
      <c r="AN51" s="14"/>
      <c r="AO51" s="15"/>
      <c r="AP51" s="15"/>
      <c r="AQ51" s="15"/>
      <c r="AR51" s="14"/>
      <c r="AS51" s="15"/>
      <c r="AT51" s="15"/>
      <c r="AU51" s="15"/>
      <c r="AV51" s="15"/>
      <c r="AW51" s="15"/>
      <c r="AX51" s="14"/>
      <c r="AY51" s="14"/>
      <c r="AZ51" s="14"/>
      <c r="BA51" s="14"/>
      <c r="BB51" s="14"/>
      <c r="BC51" s="14"/>
      <c r="BD51" s="14"/>
      <c r="BE51" s="15"/>
      <c r="BF51" s="14"/>
      <c r="BG51" s="14"/>
      <c r="BH51" s="14"/>
    </row>
    <row r="52" spans="1:60" ht="15.75" customHeight="1" x14ac:dyDescent="0.3">
      <c r="A52" s="1"/>
      <c r="B52" s="12">
        <v>48</v>
      </c>
      <c r="C52" s="42" t="s">
        <v>100</v>
      </c>
      <c r="D52" s="43"/>
      <c r="E52" s="45"/>
      <c r="F52" s="46"/>
      <c r="G52" s="41"/>
      <c r="H52" s="49"/>
      <c r="I52" s="43"/>
      <c r="J52" s="36"/>
      <c r="K52" s="18"/>
      <c r="L52" s="15"/>
      <c r="M52" s="14"/>
      <c r="N52" s="14"/>
      <c r="O52" s="14"/>
      <c r="P52" s="14"/>
      <c r="Q52" s="14"/>
      <c r="R52" s="15"/>
      <c r="S52" s="15"/>
      <c r="T52" s="15"/>
      <c r="U52" s="15"/>
      <c r="V52" s="15"/>
      <c r="W52" s="14"/>
      <c r="X52" s="14"/>
      <c r="Y52" s="14"/>
      <c r="Z52" s="15"/>
      <c r="AA52" s="15"/>
      <c r="AB52" s="15"/>
      <c r="AC52" s="15"/>
      <c r="AD52" s="15"/>
      <c r="AE52" s="15"/>
      <c r="AF52" s="15"/>
      <c r="AG52" s="15"/>
      <c r="AH52" s="14"/>
      <c r="AI52" s="15"/>
      <c r="AJ52" s="15"/>
      <c r="AK52" s="15"/>
      <c r="AL52" s="14"/>
      <c r="AM52" s="14"/>
      <c r="AN52" s="15"/>
      <c r="AO52" s="15"/>
      <c r="AP52" s="15"/>
      <c r="AQ52" s="15"/>
      <c r="AR52" s="14"/>
      <c r="AS52" s="14"/>
      <c r="AT52" s="15"/>
      <c r="AU52" s="15"/>
      <c r="AV52" s="14"/>
      <c r="AW52" s="14"/>
      <c r="AX52" s="14"/>
      <c r="AY52" s="14"/>
      <c r="AZ52" s="14"/>
      <c r="BA52" s="14"/>
      <c r="BB52" s="14"/>
      <c r="BC52" s="14"/>
      <c r="BD52" s="14"/>
      <c r="BE52" s="15"/>
      <c r="BF52" s="14"/>
      <c r="BG52" s="14"/>
      <c r="BH52" s="14"/>
    </row>
    <row r="53" spans="1:60" ht="15.75" customHeight="1" x14ac:dyDescent="0.3">
      <c r="A53" s="1"/>
      <c r="B53" s="12">
        <v>49</v>
      </c>
      <c r="C53" s="43" t="s">
        <v>91</v>
      </c>
      <c r="D53" s="43"/>
      <c r="E53" s="45">
        <v>289.8</v>
      </c>
      <c r="F53" s="46" t="s">
        <v>5</v>
      </c>
      <c r="G53" s="41">
        <v>1</v>
      </c>
      <c r="H53" s="47"/>
      <c r="I53" s="47"/>
      <c r="J53" s="36"/>
      <c r="K53" s="18"/>
      <c r="L53" s="15"/>
      <c r="M53" s="14"/>
      <c r="N53" s="14"/>
      <c r="O53" s="14"/>
      <c r="P53" s="14"/>
      <c r="Q53" s="14"/>
      <c r="R53" s="15"/>
      <c r="S53" s="15"/>
      <c r="T53" s="15"/>
      <c r="U53" s="15"/>
      <c r="V53" s="15"/>
      <c r="W53" s="14"/>
      <c r="X53" s="14"/>
      <c r="Y53" s="14"/>
      <c r="Z53" s="15"/>
      <c r="AA53" s="15"/>
      <c r="AB53" s="15"/>
      <c r="AC53" s="15"/>
      <c r="AD53" s="15"/>
      <c r="AE53" s="15"/>
      <c r="AF53" s="15"/>
      <c r="AG53" s="15"/>
      <c r="AH53" s="15"/>
      <c r="AI53" s="14"/>
      <c r="AJ53" s="15"/>
      <c r="AK53" s="15"/>
      <c r="AL53" s="15"/>
      <c r="AM53" s="14"/>
      <c r="AN53" s="14"/>
      <c r="AO53" s="15"/>
      <c r="AP53" s="15"/>
      <c r="AQ53" s="15"/>
      <c r="AR53" s="17"/>
      <c r="AS53" s="17"/>
      <c r="AT53" s="17"/>
      <c r="AU53" s="17"/>
      <c r="AV53" s="14"/>
      <c r="AW53" s="14"/>
      <c r="AX53" s="15"/>
      <c r="AY53" s="15"/>
      <c r="AZ53" s="14"/>
      <c r="BA53" s="15"/>
      <c r="BB53" s="14"/>
      <c r="BC53" s="14"/>
      <c r="BD53" s="14"/>
      <c r="BE53" s="15"/>
      <c r="BF53" s="14"/>
      <c r="BG53" s="14"/>
      <c r="BH53" s="14"/>
    </row>
    <row r="54" spans="1:60" ht="15.75" customHeight="1" x14ac:dyDescent="0.3">
      <c r="A54" s="1"/>
      <c r="B54" s="12">
        <v>50</v>
      </c>
      <c r="C54" s="43" t="s">
        <v>97</v>
      </c>
      <c r="D54" s="43"/>
      <c r="E54" s="45">
        <v>2933.48</v>
      </c>
      <c r="F54" s="46" t="s">
        <v>4</v>
      </c>
      <c r="G54" s="41">
        <v>1</v>
      </c>
      <c r="H54" s="47"/>
      <c r="I54" s="47"/>
      <c r="J54" s="36"/>
      <c r="K54" s="18"/>
      <c r="L54" s="15"/>
      <c r="M54" s="14"/>
      <c r="N54" s="14"/>
      <c r="O54" s="14"/>
      <c r="P54" s="14"/>
      <c r="Q54" s="14"/>
      <c r="R54" s="15"/>
      <c r="S54" s="15"/>
      <c r="T54" s="15"/>
      <c r="U54" s="15"/>
      <c r="V54" s="15"/>
      <c r="W54" s="14"/>
      <c r="X54" s="14"/>
      <c r="Y54" s="14"/>
      <c r="Z54" s="15"/>
      <c r="AA54" s="15"/>
      <c r="AB54" s="15"/>
      <c r="AC54" s="15"/>
      <c r="AD54" s="15"/>
      <c r="AE54" s="15"/>
      <c r="AF54" s="15"/>
      <c r="AG54" s="15"/>
      <c r="AH54" s="15"/>
      <c r="AI54" s="14"/>
      <c r="AJ54" s="15"/>
      <c r="AK54" s="15"/>
      <c r="AL54" s="15"/>
      <c r="AM54" s="14"/>
      <c r="AN54" s="14"/>
      <c r="AO54" s="15"/>
      <c r="AP54" s="15"/>
      <c r="AQ54" s="15"/>
      <c r="AR54" s="17"/>
      <c r="AS54" s="17"/>
      <c r="AT54" s="17"/>
      <c r="AU54" s="17"/>
      <c r="AV54" s="14"/>
      <c r="AW54" s="17"/>
      <c r="AX54" s="14"/>
      <c r="AY54" s="14"/>
      <c r="AZ54" s="14"/>
      <c r="BA54" s="15"/>
      <c r="BB54" s="14"/>
      <c r="BC54" s="14"/>
      <c r="BD54" s="14"/>
      <c r="BE54" s="15"/>
      <c r="BF54" s="14"/>
      <c r="BG54" s="14"/>
      <c r="BH54" s="14"/>
    </row>
    <row r="55" spans="1:60" ht="15.75" customHeight="1" x14ac:dyDescent="0.3">
      <c r="A55" s="1"/>
      <c r="B55" s="12">
        <v>51</v>
      </c>
      <c r="C55" s="43" t="s">
        <v>92</v>
      </c>
      <c r="D55" s="43"/>
      <c r="E55" s="45">
        <v>24.9</v>
      </c>
      <c r="F55" s="46" t="s">
        <v>3</v>
      </c>
      <c r="G55" s="41">
        <v>1</v>
      </c>
      <c r="H55" s="47"/>
      <c r="I55" s="47"/>
      <c r="J55" s="36"/>
      <c r="K55" s="18"/>
      <c r="L55" s="15"/>
      <c r="M55" s="14"/>
      <c r="N55" s="14"/>
      <c r="O55" s="14"/>
      <c r="P55" s="14"/>
      <c r="Q55" s="14"/>
      <c r="R55" s="15"/>
      <c r="S55" s="15"/>
      <c r="T55" s="15"/>
      <c r="U55" s="15"/>
      <c r="V55" s="15"/>
      <c r="W55" s="14"/>
      <c r="X55" s="14"/>
      <c r="Y55" s="14"/>
      <c r="Z55" s="15"/>
      <c r="AA55" s="15"/>
      <c r="AB55" s="15"/>
      <c r="AC55" s="15"/>
      <c r="AD55" s="15"/>
      <c r="AE55" s="15"/>
      <c r="AF55" s="15"/>
      <c r="AG55" s="15"/>
      <c r="AH55" s="14"/>
      <c r="AI55" s="15"/>
      <c r="AJ55" s="15"/>
      <c r="AK55" s="15"/>
      <c r="AL55" s="15"/>
      <c r="AM55" s="15"/>
      <c r="AN55" s="15"/>
      <c r="AO55" s="15"/>
      <c r="AP55" s="15"/>
      <c r="AQ55" s="15"/>
      <c r="AR55" s="17"/>
      <c r="AS55" s="17"/>
      <c r="AT55" s="17"/>
      <c r="AU55" s="17"/>
      <c r="AV55" s="15"/>
      <c r="AW55" s="15"/>
      <c r="AX55" s="17"/>
      <c r="AY55" s="15"/>
      <c r="AZ55" s="14"/>
      <c r="BA55" s="15"/>
      <c r="BB55" s="14"/>
      <c r="BC55" s="14"/>
      <c r="BD55" s="14"/>
      <c r="BE55" s="15"/>
      <c r="BF55" s="14"/>
      <c r="BG55" s="14"/>
      <c r="BH55" s="14"/>
    </row>
    <row r="56" spans="1:60" ht="15.75" customHeight="1" x14ac:dyDescent="0.3">
      <c r="A56" s="1"/>
      <c r="B56" s="12">
        <v>52</v>
      </c>
      <c r="C56" s="43" t="s">
        <v>98</v>
      </c>
      <c r="D56" s="43"/>
      <c r="E56" s="45">
        <v>289.8</v>
      </c>
      <c r="F56" s="46" t="s">
        <v>5</v>
      </c>
      <c r="G56" s="41">
        <v>1</v>
      </c>
      <c r="H56" s="47"/>
      <c r="I56" s="47"/>
      <c r="J56" s="36"/>
      <c r="K56" s="18"/>
      <c r="L56" s="15"/>
      <c r="M56" s="14"/>
      <c r="N56" s="14"/>
      <c r="O56" s="14"/>
      <c r="P56" s="14"/>
      <c r="Q56" s="14"/>
      <c r="R56" s="15"/>
      <c r="S56" s="15"/>
      <c r="T56" s="15"/>
      <c r="U56" s="15"/>
      <c r="V56" s="15"/>
      <c r="W56" s="14"/>
      <c r="X56" s="14"/>
      <c r="Y56" s="14"/>
      <c r="Z56" s="15"/>
      <c r="AA56" s="15"/>
      <c r="AB56" s="15"/>
      <c r="AC56" s="15"/>
      <c r="AD56" s="15"/>
      <c r="AE56" s="15"/>
      <c r="AF56" s="15"/>
      <c r="AG56" s="15"/>
      <c r="AH56" s="14"/>
      <c r="AI56" s="15"/>
      <c r="AJ56" s="15"/>
      <c r="AK56" s="15"/>
      <c r="AL56" s="14"/>
      <c r="AM56" s="14"/>
      <c r="AN56" s="15"/>
      <c r="AO56" s="15"/>
      <c r="AP56" s="15"/>
      <c r="AQ56" s="15"/>
      <c r="AR56" s="17"/>
      <c r="AS56" s="17"/>
      <c r="AT56" s="17"/>
      <c r="AU56" s="17"/>
      <c r="AV56" s="14"/>
      <c r="AW56" s="14"/>
      <c r="AX56" s="15"/>
      <c r="AY56" s="17"/>
      <c r="AZ56" s="14"/>
      <c r="BA56" s="15"/>
      <c r="BB56" s="14"/>
      <c r="BC56" s="14"/>
      <c r="BD56" s="14"/>
      <c r="BE56" s="15"/>
      <c r="BF56" s="14"/>
      <c r="BG56" s="14"/>
      <c r="BH56" s="14"/>
    </row>
    <row r="57" spans="1:60" ht="15.75" customHeight="1" x14ac:dyDescent="0.3">
      <c r="A57" s="1"/>
      <c r="B57" s="12">
        <v>53</v>
      </c>
      <c r="C57" s="42" t="s">
        <v>101</v>
      </c>
      <c r="D57" s="43"/>
      <c r="E57" s="45"/>
      <c r="F57" s="46"/>
      <c r="G57" s="41"/>
      <c r="H57" s="49"/>
      <c r="I57" s="43"/>
      <c r="J57" s="36"/>
      <c r="K57" s="18"/>
      <c r="L57" s="15"/>
      <c r="M57" s="14"/>
      <c r="N57" s="14"/>
      <c r="O57" s="14"/>
      <c r="P57" s="14"/>
      <c r="Q57" s="14"/>
      <c r="R57" s="15"/>
      <c r="S57" s="15"/>
      <c r="T57" s="15"/>
      <c r="U57" s="15"/>
      <c r="V57" s="15"/>
      <c r="W57" s="14"/>
      <c r="X57" s="14"/>
      <c r="Y57" s="14"/>
      <c r="Z57" s="15"/>
      <c r="AA57" s="15"/>
      <c r="AB57" s="15"/>
      <c r="AC57" s="15"/>
      <c r="AD57" s="15"/>
      <c r="AE57" s="15"/>
      <c r="AF57" s="15"/>
      <c r="AG57" s="15"/>
      <c r="AH57" s="14"/>
      <c r="AI57" s="15"/>
      <c r="AJ57" s="15"/>
      <c r="AK57" s="15"/>
      <c r="AL57" s="15"/>
      <c r="AM57" s="15"/>
      <c r="AN57" s="15"/>
      <c r="AO57" s="15"/>
      <c r="AP57" s="15"/>
      <c r="AQ57" s="15"/>
      <c r="AR57" s="14"/>
      <c r="AS57" s="14"/>
      <c r="AT57" s="14"/>
      <c r="AU57" s="14"/>
      <c r="AV57" s="14"/>
      <c r="AW57" s="14"/>
      <c r="AX57" s="14"/>
      <c r="AY57" s="14"/>
      <c r="AZ57" s="14"/>
      <c r="BA57" s="15"/>
      <c r="BB57" s="14"/>
      <c r="BC57" s="14"/>
      <c r="BD57" s="14"/>
      <c r="BE57" s="15"/>
      <c r="BF57" s="14"/>
      <c r="BG57" s="14"/>
      <c r="BH57" s="14"/>
    </row>
    <row r="58" spans="1:60" ht="15.75" customHeight="1" x14ac:dyDescent="0.3">
      <c r="A58" s="1"/>
      <c r="B58" s="12">
        <v>54</v>
      </c>
      <c r="C58" s="43" t="s">
        <v>91</v>
      </c>
      <c r="D58" s="43"/>
      <c r="E58" s="45">
        <v>327.60000000000002</v>
      </c>
      <c r="F58" s="46" t="s">
        <v>5</v>
      </c>
      <c r="G58" s="41">
        <v>2</v>
      </c>
      <c r="H58" s="47"/>
      <c r="I58" s="47"/>
      <c r="J58" s="36"/>
      <c r="K58" s="18"/>
      <c r="L58" s="15"/>
      <c r="M58" s="14"/>
      <c r="N58" s="14"/>
      <c r="O58" s="14"/>
      <c r="P58" s="14"/>
      <c r="Q58" s="14"/>
      <c r="R58" s="15"/>
      <c r="S58" s="15"/>
      <c r="T58" s="15"/>
      <c r="U58" s="15"/>
      <c r="V58" s="15"/>
      <c r="W58" s="14"/>
      <c r="X58" s="14"/>
      <c r="Y58" s="14"/>
      <c r="Z58" s="15"/>
      <c r="AA58" s="15"/>
      <c r="AB58" s="15"/>
      <c r="AC58" s="15"/>
      <c r="AD58" s="15"/>
      <c r="AE58" s="15"/>
      <c r="AF58" s="15"/>
      <c r="AG58" s="15"/>
      <c r="AH58" s="14"/>
      <c r="AI58" s="15"/>
      <c r="AJ58" s="15"/>
      <c r="AK58" s="15"/>
      <c r="AL58" s="15"/>
      <c r="AM58" s="15"/>
      <c r="AN58" s="15"/>
      <c r="AO58" s="15"/>
      <c r="AP58" s="15"/>
      <c r="AQ58" s="15"/>
      <c r="AR58" s="14"/>
      <c r="AS58" s="14"/>
      <c r="AT58" s="14"/>
      <c r="AU58" s="17"/>
      <c r="AV58" s="17"/>
      <c r="AW58" s="14"/>
      <c r="AX58" s="14"/>
      <c r="AY58" s="14"/>
      <c r="AZ58" s="14"/>
      <c r="BA58" s="15"/>
      <c r="BB58" s="14"/>
      <c r="BC58" s="14"/>
      <c r="BD58" s="14"/>
      <c r="BE58" s="15"/>
      <c r="BF58" s="14"/>
      <c r="BG58" s="14"/>
      <c r="BH58" s="14"/>
    </row>
    <row r="59" spans="1:60" ht="15.75" customHeight="1" x14ac:dyDescent="0.3">
      <c r="A59" s="1"/>
      <c r="B59" s="12">
        <v>55</v>
      </c>
      <c r="C59" s="43" t="s">
        <v>97</v>
      </c>
      <c r="D59" s="43"/>
      <c r="E59" s="45">
        <v>5573</v>
      </c>
      <c r="F59" s="46" t="s">
        <v>4</v>
      </c>
      <c r="G59" s="41">
        <v>2</v>
      </c>
      <c r="H59" s="47"/>
      <c r="I59" s="47"/>
      <c r="J59" s="36"/>
      <c r="K59" s="18"/>
      <c r="L59" s="15"/>
      <c r="M59" s="14"/>
      <c r="N59" s="14"/>
      <c r="O59" s="14"/>
      <c r="P59" s="14"/>
      <c r="Q59" s="14"/>
      <c r="R59" s="15"/>
      <c r="S59" s="15"/>
      <c r="T59" s="15"/>
      <c r="U59" s="15"/>
      <c r="V59" s="15"/>
      <c r="W59" s="14"/>
      <c r="X59" s="14"/>
      <c r="Y59" s="14"/>
      <c r="Z59" s="15"/>
      <c r="AA59" s="15"/>
      <c r="AB59" s="15"/>
      <c r="AC59" s="15"/>
      <c r="AD59" s="15"/>
      <c r="AE59" s="15"/>
      <c r="AF59" s="15"/>
      <c r="AG59" s="15"/>
      <c r="AH59" s="14"/>
      <c r="AI59" s="15"/>
      <c r="AJ59" s="15"/>
      <c r="AK59" s="15"/>
      <c r="AL59" s="15"/>
      <c r="AM59" s="15"/>
      <c r="AN59" s="15"/>
      <c r="AO59" s="15"/>
      <c r="AP59" s="15"/>
      <c r="AQ59" s="15"/>
      <c r="AR59" s="14"/>
      <c r="AS59" s="14"/>
      <c r="AT59" s="15"/>
      <c r="AU59" s="15"/>
      <c r="AV59" s="17"/>
      <c r="AW59" s="17"/>
      <c r="AX59" s="14"/>
      <c r="AY59" s="14"/>
      <c r="AZ59" s="15"/>
      <c r="BA59" s="14"/>
      <c r="BB59" s="14"/>
      <c r="BC59" s="14"/>
      <c r="BD59" s="14"/>
      <c r="BE59" s="15"/>
      <c r="BF59" s="14"/>
      <c r="BG59" s="14"/>
      <c r="BH59" s="14"/>
    </row>
    <row r="60" spans="1:60" ht="15.75" customHeight="1" x14ac:dyDescent="0.3">
      <c r="A60" s="1"/>
      <c r="B60" s="12">
        <v>56</v>
      </c>
      <c r="C60" s="43" t="s">
        <v>92</v>
      </c>
      <c r="D60" s="43"/>
      <c r="E60" s="45">
        <v>23.69</v>
      </c>
      <c r="F60" s="46" t="s">
        <v>3</v>
      </c>
      <c r="G60" s="41">
        <v>1</v>
      </c>
      <c r="H60" s="47"/>
      <c r="I60" s="47"/>
      <c r="J60" s="36"/>
      <c r="K60" s="18"/>
      <c r="L60" s="15"/>
      <c r="M60" s="14"/>
      <c r="N60" s="14"/>
      <c r="O60" s="14"/>
      <c r="P60" s="14"/>
      <c r="Q60" s="14"/>
      <c r="R60" s="15"/>
      <c r="S60" s="15"/>
      <c r="T60" s="15"/>
      <c r="U60" s="15"/>
      <c r="V60" s="15"/>
      <c r="W60" s="14"/>
      <c r="X60" s="14"/>
      <c r="Y60" s="14"/>
      <c r="Z60" s="15"/>
      <c r="AA60" s="15"/>
      <c r="AB60" s="15"/>
      <c r="AC60" s="15"/>
      <c r="AD60" s="15"/>
      <c r="AE60" s="15"/>
      <c r="AF60" s="15"/>
      <c r="AG60" s="15"/>
      <c r="AH60" s="14"/>
      <c r="AI60" s="15"/>
      <c r="AJ60" s="15"/>
      <c r="AK60" s="15"/>
      <c r="AL60" s="15"/>
      <c r="AM60" s="15"/>
      <c r="AN60" s="15"/>
      <c r="AO60" s="15"/>
      <c r="AP60" s="15"/>
      <c r="AQ60" s="15"/>
      <c r="AR60" s="14"/>
      <c r="AS60" s="15"/>
      <c r="AT60" s="15"/>
      <c r="AU60" s="14"/>
      <c r="AV60" s="17"/>
      <c r="AW60" s="17"/>
      <c r="AX60" s="17"/>
      <c r="AY60" s="14"/>
      <c r="AZ60" s="15"/>
      <c r="BA60" s="14"/>
      <c r="BB60" s="14"/>
      <c r="BC60" s="14"/>
      <c r="BD60" s="14"/>
      <c r="BE60" s="15"/>
      <c r="BF60" s="14"/>
      <c r="BG60" s="14"/>
      <c r="BH60" s="14"/>
    </row>
    <row r="61" spans="1:60" ht="15.75" customHeight="1" x14ac:dyDescent="0.3">
      <c r="A61" s="1"/>
      <c r="B61" s="12">
        <v>57</v>
      </c>
      <c r="C61" s="43" t="s">
        <v>98</v>
      </c>
      <c r="D61" s="43"/>
      <c r="E61" s="45">
        <v>327.60000000000002</v>
      </c>
      <c r="F61" s="46" t="s">
        <v>5</v>
      </c>
      <c r="G61" s="41">
        <v>1</v>
      </c>
      <c r="H61" s="47"/>
      <c r="I61" s="47"/>
      <c r="J61" s="36"/>
      <c r="K61" s="18"/>
      <c r="L61" s="15"/>
      <c r="M61" s="14"/>
      <c r="N61" s="14"/>
      <c r="O61" s="14"/>
      <c r="P61" s="14"/>
      <c r="Q61" s="14"/>
      <c r="R61" s="15"/>
      <c r="S61" s="15"/>
      <c r="T61" s="15"/>
      <c r="U61" s="15"/>
      <c r="V61" s="15"/>
      <c r="W61" s="14"/>
      <c r="X61" s="14"/>
      <c r="Y61" s="14"/>
      <c r="Z61" s="15"/>
      <c r="AA61" s="15"/>
      <c r="AB61" s="15"/>
      <c r="AC61" s="15"/>
      <c r="AD61" s="15"/>
      <c r="AE61" s="15"/>
      <c r="AF61" s="15"/>
      <c r="AG61" s="15"/>
      <c r="AH61" s="14"/>
      <c r="AI61" s="15"/>
      <c r="AJ61" s="15"/>
      <c r="AK61" s="15"/>
      <c r="AL61" s="15"/>
      <c r="AM61" s="15"/>
      <c r="AN61" s="15"/>
      <c r="AO61" s="15"/>
      <c r="AP61" s="15"/>
      <c r="AQ61" s="15"/>
      <c r="AR61" s="14"/>
      <c r="AS61" s="15"/>
      <c r="AT61" s="15"/>
      <c r="AU61" s="17"/>
      <c r="AV61" s="14"/>
      <c r="AW61" s="17"/>
      <c r="AX61" s="17"/>
      <c r="AY61" s="15"/>
      <c r="AZ61" s="14"/>
      <c r="BA61" s="14"/>
      <c r="BB61" s="14"/>
      <c r="BC61" s="14"/>
      <c r="BD61" s="14"/>
      <c r="BE61" s="15"/>
      <c r="BF61" s="14"/>
      <c r="BG61" s="14"/>
      <c r="BH61" s="14"/>
    </row>
    <row r="62" spans="1:60" ht="15.75" customHeight="1" x14ac:dyDescent="0.3">
      <c r="A62" s="1"/>
      <c r="B62" s="12">
        <v>58</v>
      </c>
      <c r="C62" s="42" t="s">
        <v>103</v>
      </c>
      <c r="D62" s="43"/>
      <c r="E62" s="45"/>
      <c r="F62" s="46"/>
      <c r="G62" s="41"/>
      <c r="H62" s="49"/>
      <c r="I62" s="43"/>
      <c r="J62" s="36"/>
      <c r="K62" s="18"/>
      <c r="L62" s="15"/>
      <c r="M62" s="14"/>
      <c r="N62" s="14"/>
      <c r="O62" s="14"/>
      <c r="P62" s="14"/>
      <c r="Q62" s="14"/>
      <c r="R62" s="15"/>
      <c r="S62" s="15"/>
      <c r="T62" s="15"/>
      <c r="U62" s="15"/>
      <c r="V62" s="15"/>
      <c r="W62" s="14"/>
      <c r="X62" s="14"/>
      <c r="Y62" s="14"/>
      <c r="Z62" s="15"/>
      <c r="AA62" s="15"/>
      <c r="AB62" s="15"/>
      <c r="AC62" s="15"/>
      <c r="AD62" s="15"/>
      <c r="AE62" s="15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AQ62" s="15"/>
      <c r="AR62" s="14"/>
      <c r="AS62" s="14"/>
      <c r="AT62" s="15"/>
      <c r="AU62" s="15"/>
      <c r="AV62" s="14"/>
      <c r="AW62" s="14"/>
      <c r="AX62" s="14"/>
      <c r="AY62" s="14"/>
      <c r="AZ62" s="14"/>
      <c r="BA62" s="14"/>
      <c r="BB62" s="14"/>
      <c r="BC62" s="14"/>
      <c r="BD62" s="15"/>
      <c r="BE62" s="15"/>
      <c r="BF62" s="14"/>
      <c r="BG62" s="14"/>
      <c r="BH62" s="14"/>
    </row>
    <row r="63" spans="1:60" ht="15.75" customHeight="1" x14ac:dyDescent="0.3">
      <c r="A63" s="1"/>
      <c r="B63" s="12">
        <v>59</v>
      </c>
      <c r="C63" s="42" t="s">
        <v>104</v>
      </c>
      <c r="D63" s="43"/>
      <c r="E63" s="45"/>
      <c r="F63" s="46"/>
      <c r="G63" s="41"/>
      <c r="H63" s="49"/>
      <c r="I63" s="43"/>
      <c r="J63" s="36"/>
      <c r="K63" s="18"/>
      <c r="L63" s="15"/>
      <c r="M63" s="14"/>
      <c r="N63" s="14"/>
      <c r="O63" s="14"/>
      <c r="P63" s="14"/>
      <c r="Q63" s="14"/>
      <c r="R63" s="15"/>
      <c r="S63" s="15"/>
      <c r="T63" s="15"/>
      <c r="U63" s="15"/>
      <c r="V63" s="15"/>
      <c r="W63" s="14"/>
      <c r="X63" s="14"/>
      <c r="Y63" s="14"/>
      <c r="Z63" s="14"/>
      <c r="AA63" s="14"/>
      <c r="AB63" s="15"/>
      <c r="AC63" s="15"/>
      <c r="AD63" s="15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5"/>
      <c r="AQ63" s="15"/>
      <c r="AR63" s="14"/>
      <c r="AS63" s="14"/>
      <c r="AT63" s="15"/>
      <c r="AU63" s="15"/>
      <c r="AV63" s="14"/>
      <c r="AW63" s="14"/>
      <c r="AX63" s="14"/>
      <c r="AY63" s="14"/>
      <c r="AZ63" s="14"/>
      <c r="BA63" s="14"/>
      <c r="BB63" s="14"/>
      <c r="BC63" s="14"/>
      <c r="BD63" s="15"/>
      <c r="BE63" s="15"/>
      <c r="BF63" s="14"/>
      <c r="BG63" s="14"/>
      <c r="BH63" s="14"/>
    </row>
    <row r="64" spans="1:60" ht="15.75" customHeight="1" x14ac:dyDescent="0.3">
      <c r="A64" s="1"/>
      <c r="B64" s="12">
        <v>60</v>
      </c>
      <c r="C64" s="43" t="s">
        <v>91</v>
      </c>
      <c r="D64" s="43"/>
      <c r="E64" s="45">
        <v>468.06</v>
      </c>
      <c r="F64" s="46" t="s">
        <v>5</v>
      </c>
      <c r="G64" s="41">
        <v>2</v>
      </c>
      <c r="H64" s="47"/>
      <c r="I64" s="47"/>
      <c r="J64" s="36"/>
      <c r="K64" s="18"/>
      <c r="L64" s="15"/>
      <c r="M64" s="14"/>
      <c r="N64" s="14"/>
      <c r="O64" s="14"/>
      <c r="P64" s="14"/>
      <c r="Q64" s="14"/>
      <c r="R64" s="15"/>
      <c r="S64" s="15"/>
      <c r="T64" s="15"/>
      <c r="U64" s="15"/>
      <c r="V64" s="15"/>
      <c r="W64" s="14"/>
      <c r="X64" s="14"/>
      <c r="Y64" s="14"/>
      <c r="Z64" s="14"/>
      <c r="AA64" s="14"/>
      <c r="AB64" s="15"/>
      <c r="AC64" s="15"/>
      <c r="AD64" s="15"/>
      <c r="AE64" s="14"/>
      <c r="AF64" s="14"/>
      <c r="AG64" s="14"/>
      <c r="AH64" s="15"/>
      <c r="AI64" s="15"/>
      <c r="AJ64" s="15"/>
      <c r="AK64" s="15"/>
      <c r="AL64" s="15"/>
      <c r="AM64" s="14"/>
      <c r="AN64" s="15"/>
      <c r="AO64" s="15"/>
      <c r="AP64" s="15"/>
      <c r="AQ64" s="15"/>
      <c r="AR64" s="15"/>
      <c r="AS64" s="15"/>
      <c r="AT64" s="15"/>
      <c r="AU64" s="15"/>
      <c r="AV64" s="15"/>
      <c r="AW64" s="14"/>
      <c r="AX64" s="14"/>
      <c r="AY64" s="17"/>
      <c r="AZ64" s="14"/>
      <c r="BA64" s="14"/>
      <c r="BB64" s="14"/>
      <c r="BC64" s="14"/>
      <c r="BD64" s="15"/>
      <c r="BE64" s="15"/>
      <c r="BF64" s="14"/>
      <c r="BG64" s="14"/>
      <c r="BH64" s="14"/>
    </row>
    <row r="65" spans="1:60" ht="15.75" customHeight="1" x14ac:dyDescent="0.3">
      <c r="A65" s="1"/>
      <c r="B65" s="12">
        <v>61</v>
      </c>
      <c r="C65" s="43" t="s">
        <v>97</v>
      </c>
      <c r="D65" s="43"/>
      <c r="E65" s="45">
        <v>8828.7900000000009</v>
      </c>
      <c r="F65" s="46" t="s">
        <v>4</v>
      </c>
      <c r="G65" s="41">
        <v>4</v>
      </c>
      <c r="H65" s="47"/>
      <c r="I65" s="47"/>
      <c r="J65" s="36"/>
      <c r="K65" s="18"/>
      <c r="L65" s="15"/>
      <c r="M65" s="14"/>
      <c r="N65" s="14"/>
      <c r="O65" s="14"/>
      <c r="P65" s="14"/>
      <c r="Q65" s="14"/>
      <c r="R65" s="15"/>
      <c r="S65" s="15"/>
      <c r="T65" s="15"/>
      <c r="U65" s="15"/>
      <c r="V65" s="15"/>
      <c r="W65" s="14"/>
      <c r="X65" s="14"/>
      <c r="Y65" s="14"/>
      <c r="Z65" s="14"/>
      <c r="AA65" s="14"/>
      <c r="AB65" s="15"/>
      <c r="AC65" s="15"/>
      <c r="AD65" s="15"/>
      <c r="AE65" s="14"/>
      <c r="AF65" s="14"/>
      <c r="AG65" s="14"/>
      <c r="AH65" s="15"/>
      <c r="AI65" s="15"/>
      <c r="AJ65" s="15"/>
      <c r="AK65" s="15"/>
      <c r="AL65" s="15"/>
      <c r="AM65" s="14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7"/>
      <c r="AY65" s="14"/>
      <c r="AZ65" s="14"/>
      <c r="BA65" s="14"/>
      <c r="BB65" s="14"/>
      <c r="BC65" s="14"/>
      <c r="BD65" s="15"/>
      <c r="BE65" s="15"/>
      <c r="BF65" s="14"/>
      <c r="BG65" s="14"/>
      <c r="BH65" s="14"/>
    </row>
    <row r="66" spans="1:60" ht="15.75" customHeight="1" x14ac:dyDescent="0.3">
      <c r="A66" s="1"/>
      <c r="B66" s="12">
        <v>62</v>
      </c>
      <c r="C66" s="43" t="s">
        <v>92</v>
      </c>
      <c r="D66" s="43"/>
      <c r="E66" s="45">
        <v>112.34</v>
      </c>
      <c r="F66" s="46" t="s">
        <v>3</v>
      </c>
      <c r="G66" s="41">
        <v>2</v>
      </c>
      <c r="H66" s="47"/>
      <c r="I66" s="47"/>
      <c r="J66" s="36"/>
      <c r="K66" s="18"/>
      <c r="L66" s="15"/>
      <c r="M66" s="14"/>
      <c r="N66" s="14"/>
      <c r="O66" s="14"/>
      <c r="P66" s="14"/>
      <c r="Q66" s="14"/>
      <c r="R66" s="15"/>
      <c r="S66" s="15"/>
      <c r="T66" s="15"/>
      <c r="U66" s="15"/>
      <c r="V66" s="15"/>
      <c r="W66" s="14"/>
      <c r="X66" s="14"/>
      <c r="Y66" s="14"/>
      <c r="Z66" s="14"/>
      <c r="AA66" s="14"/>
      <c r="AB66" s="15"/>
      <c r="AC66" s="15"/>
      <c r="AD66" s="15"/>
      <c r="AE66" s="14"/>
      <c r="AF66" s="14"/>
      <c r="AG66" s="14"/>
      <c r="AH66" s="15"/>
      <c r="AI66" s="15"/>
      <c r="AJ66" s="15"/>
      <c r="AK66" s="15"/>
      <c r="AL66" s="15"/>
      <c r="AM66" s="14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4"/>
      <c r="AY66" s="14"/>
      <c r="AZ66" s="14"/>
      <c r="BA66" s="14"/>
      <c r="BB66" s="14"/>
      <c r="BC66" s="14"/>
      <c r="BD66" s="15"/>
      <c r="BE66" s="15"/>
      <c r="BF66" s="14"/>
      <c r="BG66" s="14"/>
      <c r="BH66" s="14"/>
    </row>
    <row r="67" spans="1:60" ht="15.75" customHeight="1" x14ac:dyDescent="0.3">
      <c r="A67" s="1"/>
      <c r="B67" s="12">
        <v>63</v>
      </c>
      <c r="C67" s="43" t="s">
        <v>98</v>
      </c>
      <c r="D67" s="43"/>
      <c r="E67" s="45">
        <v>468.06</v>
      </c>
      <c r="F67" s="46" t="s">
        <v>5</v>
      </c>
      <c r="G67" s="41">
        <v>1</v>
      </c>
      <c r="H67" s="47"/>
      <c r="I67" s="47"/>
      <c r="J67" s="36"/>
      <c r="K67" s="18"/>
      <c r="L67" s="15"/>
      <c r="M67" s="14"/>
      <c r="N67" s="14"/>
      <c r="O67" s="14"/>
      <c r="P67" s="14"/>
      <c r="Q67" s="14"/>
      <c r="R67" s="15"/>
      <c r="S67" s="15"/>
      <c r="T67" s="15"/>
      <c r="U67" s="15"/>
      <c r="V67" s="15"/>
      <c r="W67" s="14"/>
      <c r="X67" s="14"/>
      <c r="Y67" s="14"/>
      <c r="Z67" s="14"/>
      <c r="AA67" s="14"/>
      <c r="AB67" s="15"/>
      <c r="AC67" s="15"/>
      <c r="AD67" s="15"/>
      <c r="AE67" s="14"/>
      <c r="AF67" s="14"/>
      <c r="AG67" s="14"/>
      <c r="AH67" s="15"/>
      <c r="AI67" s="15"/>
      <c r="AJ67" s="15"/>
      <c r="AK67" s="15"/>
      <c r="AL67" s="15"/>
      <c r="AM67" s="14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4"/>
      <c r="AY67" s="14"/>
      <c r="AZ67" s="14"/>
      <c r="BA67" s="14"/>
      <c r="BB67" s="15"/>
      <c r="BC67" s="15"/>
      <c r="BD67" s="15"/>
      <c r="BE67" s="15"/>
      <c r="BF67" s="14"/>
      <c r="BG67" s="14"/>
      <c r="BH67" s="14"/>
    </row>
    <row r="68" spans="1:60" ht="15.75" customHeight="1" x14ac:dyDescent="0.3">
      <c r="A68" s="1"/>
      <c r="B68" s="12">
        <v>64</v>
      </c>
      <c r="C68" s="42" t="s">
        <v>105</v>
      </c>
      <c r="D68" s="43"/>
      <c r="E68" s="45"/>
      <c r="F68" s="46"/>
      <c r="G68" s="41"/>
      <c r="H68" s="49"/>
      <c r="I68" s="43"/>
      <c r="J68" s="36"/>
      <c r="K68" s="18"/>
      <c r="L68" s="15"/>
      <c r="M68" s="14"/>
      <c r="N68" s="14"/>
      <c r="O68" s="14"/>
      <c r="P68" s="14"/>
      <c r="Q68" s="14"/>
      <c r="R68" s="15"/>
      <c r="S68" s="15"/>
      <c r="T68" s="15"/>
      <c r="U68" s="15"/>
      <c r="V68" s="15"/>
      <c r="W68" s="14"/>
      <c r="X68" s="14"/>
      <c r="Y68" s="14"/>
      <c r="Z68" s="14"/>
      <c r="AA68" s="14"/>
      <c r="AB68" s="15"/>
      <c r="AC68" s="15"/>
      <c r="AD68" s="15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AQ68" s="15"/>
      <c r="AR68" s="14"/>
      <c r="AS68" s="14"/>
      <c r="AT68" s="14"/>
      <c r="AU68" s="14"/>
      <c r="AV68" s="14"/>
      <c r="AW68" s="14"/>
      <c r="AX68" s="14"/>
      <c r="AY68" s="15"/>
      <c r="AZ68" s="14"/>
      <c r="BA68" s="14"/>
      <c r="BB68" s="14"/>
      <c r="BC68" s="14"/>
      <c r="BD68" s="14"/>
      <c r="BE68" s="15"/>
      <c r="BF68" s="14"/>
      <c r="BG68" s="14"/>
      <c r="BH68" s="14"/>
    </row>
    <row r="69" spans="1:60" ht="15.75" customHeight="1" x14ac:dyDescent="0.3">
      <c r="A69" s="1"/>
      <c r="B69" s="12">
        <v>65</v>
      </c>
      <c r="C69" s="42" t="s">
        <v>106</v>
      </c>
      <c r="D69" s="43"/>
      <c r="E69" s="45"/>
      <c r="F69" s="46"/>
      <c r="G69" s="41"/>
      <c r="H69" s="49"/>
      <c r="I69" s="43"/>
      <c r="J69" s="36"/>
      <c r="K69" s="18"/>
      <c r="L69" s="15"/>
      <c r="M69" s="14"/>
      <c r="N69" s="14"/>
      <c r="O69" s="14"/>
      <c r="P69" s="14"/>
      <c r="Q69" s="14"/>
      <c r="R69" s="15"/>
      <c r="S69" s="15"/>
      <c r="T69" s="15"/>
      <c r="U69" s="15"/>
      <c r="V69" s="15"/>
      <c r="W69" s="14"/>
      <c r="X69" s="14"/>
      <c r="Y69" s="14"/>
      <c r="Z69" s="15"/>
      <c r="AA69" s="15"/>
      <c r="AB69" s="15"/>
      <c r="AC69" s="15"/>
      <c r="AD69" s="15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5"/>
      <c r="AQ69" s="15"/>
      <c r="AR69" s="14"/>
      <c r="AS69" s="14"/>
      <c r="AT69" s="14"/>
      <c r="AU69" s="14"/>
      <c r="AV69" s="14"/>
      <c r="AW69" s="14"/>
      <c r="AX69" s="14"/>
      <c r="AY69" s="15"/>
      <c r="AZ69" s="14"/>
      <c r="BA69" s="14"/>
      <c r="BB69" s="14"/>
      <c r="BC69" s="14"/>
      <c r="BD69" s="14"/>
      <c r="BE69" s="15"/>
      <c r="BF69" s="14"/>
      <c r="BG69" s="14"/>
      <c r="BH69" s="14"/>
    </row>
    <row r="70" spans="1:60" ht="15.75" customHeight="1" x14ac:dyDescent="0.3">
      <c r="A70" s="1"/>
      <c r="B70" s="12">
        <v>66</v>
      </c>
      <c r="C70" s="43" t="s">
        <v>91</v>
      </c>
      <c r="D70" s="43"/>
      <c r="E70" s="45">
        <v>55</v>
      </c>
      <c r="F70" s="46" t="s">
        <v>5</v>
      </c>
      <c r="G70" s="41">
        <v>1</v>
      </c>
      <c r="H70" s="47"/>
      <c r="I70" s="47"/>
      <c r="J70" s="36"/>
      <c r="K70" s="18"/>
      <c r="L70" s="15"/>
      <c r="M70" s="14"/>
      <c r="N70" s="14"/>
      <c r="O70" s="14"/>
      <c r="P70" s="14"/>
      <c r="Q70" s="14"/>
      <c r="R70" s="15"/>
      <c r="S70" s="15"/>
      <c r="T70" s="15"/>
      <c r="U70" s="15"/>
      <c r="V70" s="15"/>
      <c r="W70" s="14"/>
      <c r="X70" s="14"/>
      <c r="Y70" s="14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4"/>
      <c r="AM70" s="14"/>
      <c r="AN70" s="14"/>
      <c r="AO70" s="14"/>
      <c r="AP70" s="15"/>
      <c r="AQ70" s="15"/>
      <c r="AR70" s="14"/>
      <c r="AS70" s="14"/>
      <c r="AT70" s="14"/>
      <c r="AU70" s="14"/>
      <c r="AV70" s="14"/>
      <c r="AW70" s="14"/>
      <c r="AX70" s="14"/>
      <c r="AY70" s="15"/>
      <c r="AZ70" s="14"/>
      <c r="BA70" s="14"/>
      <c r="BB70" s="14"/>
      <c r="BC70" s="14"/>
      <c r="BD70" s="14"/>
      <c r="BE70" s="15"/>
      <c r="BF70" s="15"/>
      <c r="BG70" s="15"/>
      <c r="BH70" s="15"/>
    </row>
    <row r="71" spans="1:60" ht="15.75" customHeight="1" x14ac:dyDescent="0.3">
      <c r="A71" s="1"/>
      <c r="B71" s="12">
        <v>67</v>
      </c>
      <c r="C71" s="43" t="s">
        <v>97</v>
      </c>
      <c r="D71" s="43"/>
      <c r="E71" s="45">
        <v>500.44</v>
      </c>
      <c r="F71" s="46" t="s">
        <v>4</v>
      </c>
      <c r="G71" s="41">
        <v>1</v>
      </c>
      <c r="H71" s="47"/>
      <c r="I71" s="47"/>
      <c r="J71" s="36"/>
      <c r="K71" s="18"/>
      <c r="L71" s="15"/>
      <c r="M71" s="14"/>
      <c r="N71" s="14"/>
      <c r="O71" s="14"/>
      <c r="P71" s="14"/>
      <c r="Q71" s="14"/>
      <c r="R71" s="15"/>
      <c r="S71" s="15"/>
      <c r="T71" s="15"/>
      <c r="U71" s="15"/>
      <c r="V71" s="15"/>
      <c r="W71" s="14"/>
      <c r="X71" s="14"/>
      <c r="Y71" s="14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4"/>
      <c r="AM71" s="14"/>
      <c r="AN71" s="14"/>
      <c r="AO71" s="14"/>
      <c r="AP71" s="15"/>
      <c r="AQ71" s="15"/>
      <c r="AR71" s="15"/>
      <c r="AS71" s="15"/>
      <c r="AT71" s="15"/>
      <c r="AU71" s="15"/>
      <c r="AV71" s="14"/>
      <c r="AW71" s="14"/>
      <c r="AX71" s="14"/>
      <c r="AY71" s="14"/>
      <c r="AZ71" s="14"/>
      <c r="BA71" s="14"/>
      <c r="BB71" s="14"/>
      <c r="BC71" s="14"/>
      <c r="BD71" s="15"/>
      <c r="BE71" s="15"/>
      <c r="BF71" s="15"/>
      <c r="BG71" s="15"/>
      <c r="BH71" s="15"/>
    </row>
    <row r="72" spans="1:60" ht="15.75" customHeight="1" x14ac:dyDescent="0.3">
      <c r="A72" s="1"/>
      <c r="B72" s="12">
        <v>68</v>
      </c>
      <c r="C72" s="43" t="s">
        <v>92</v>
      </c>
      <c r="D72" s="43"/>
      <c r="E72" s="45">
        <v>4.25</v>
      </c>
      <c r="F72" s="46" t="s">
        <v>3</v>
      </c>
      <c r="G72" s="41">
        <v>1</v>
      </c>
      <c r="H72" s="47"/>
      <c r="I72" s="47"/>
      <c r="J72" s="36"/>
      <c r="K72" s="18"/>
      <c r="L72" s="15"/>
      <c r="M72" s="14"/>
      <c r="N72" s="14"/>
      <c r="O72" s="14"/>
      <c r="P72" s="14"/>
      <c r="Q72" s="14"/>
      <c r="R72" s="15"/>
      <c r="S72" s="15"/>
      <c r="T72" s="15"/>
      <c r="U72" s="15"/>
      <c r="V72" s="15"/>
      <c r="W72" s="14"/>
      <c r="X72" s="14"/>
      <c r="Y72" s="14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4"/>
      <c r="AM72" s="15"/>
      <c r="AN72" s="14"/>
      <c r="AO72" s="14"/>
      <c r="AP72" s="15"/>
      <c r="AQ72" s="15"/>
      <c r="AR72" s="15"/>
      <c r="AS72" s="15"/>
      <c r="AT72" s="15"/>
      <c r="AU72" s="15"/>
      <c r="AV72" s="14"/>
      <c r="AW72" s="14"/>
      <c r="AX72" s="14"/>
      <c r="AY72" s="15"/>
      <c r="AZ72" s="14"/>
      <c r="BA72" s="14"/>
      <c r="BB72" s="14"/>
      <c r="BC72" s="14"/>
      <c r="BD72" s="15"/>
      <c r="BE72" s="15"/>
      <c r="BF72" s="15"/>
      <c r="BG72" s="15"/>
      <c r="BH72" s="15"/>
    </row>
    <row r="73" spans="1:60" ht="15.75" customHeight="1" x14ac:dyDescent="0.3">
      <c r="A73" s="1"/>
      <c r="B73" s="12">
        <v>69</v>
      </c>
      <c r="C73" s="43" t="s">
        <v>98</v>
      </c>
      <c r="D73" s="43"/>
      <c r="E73" s="45">
        <v>55</v>
      </c>
      <c r="F73" s="46" t="s">
        <v>5</v>
      </c>
      <c r="G73" s="41">
        <v>1</v>
      </c>
      <c r="H73" s="47"/>
      <c r="I73" s="47"/>
      <c r="J73" s="36"/>
      <c r="K73" s="18"/>
      <c r="L73" s="15"/>
      <c r="M73" s="14"/>
      <c r="N73" s="14"/>
      <c r="O73" s="14"/>
      <c r="P73" s="14"/>
      <c r="Q73" s="14"/>
      <c r="R73" s="15"/>
      <c r="S73" s="15"/>
      <c r="T73" s="15"/>
      <c r="U73" s="15"/>
      <c r="V73" s="15"/>
      <c r="W73" s="14"/>
      <c r="X73" s="14"/>
      <c r="Y73" s="14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4"/>
      <c r="AM73" s="14"/>
      <c r="AN73" s="14"/>
      <c r="AO73" s="14"/>
      <c r="AP73" s="15"/>
      <c r="AQ73" s="15"/>
      <c r="AR73" s="15"/>
      <c r="AS73" s="15"/>
      <c r="AT73" s="15"/>
      <c r="AU73" s="15"/>
      <c r="AV73" s="14"/>
      <c r="AW73" s="14"/>
      <c r="AX73" s="17"/>
      <c r="AY73" s="15"/>
      <c r="AZ73" s="14"/>
      <c r="BA73" s="14"/>
      <c r="BB73" s="14"/>
      <c r="BC73" s="14"/>
      <c r="BD73" s="15"/>
      <c r="BE73" s="15"/>
      <c r="BF73" s="15"/>
      <c r="BG73" s="15"/>
      <c r="BH73" s="15"/>
    </row>
    <row r="74" spans="1:60" ht="15.75" customHeight="1" x14ac:dyDescent="0.3">
      <c r="A74" s="1"/>
      <c r="B74" s="12">
        <v>70</v>
      </c>
      <c r="C74" s="50" t="s">
        <v>107</v>
      </c>
      <c r="D74" s="43"/>
      <c r="E74" s="45"/>
      <c r="F74" s="46"/>
      <c r="G74" s="41"/>
      <c r="H74" s="49"/>
      <c r="I74" s="43"/>
      <c r="J74" s="36"/>
      <c r="K74" s="18"/>
      <c r="L74" s="15"/>
      <c r="M74" s="14"/>
      <c r="N74" s="14"/>
      <c r="O74" s="14"/>
      <c r="P74" s="14"/>
      <c r="Q74" s="14"/>
      <c r="R74" s="15"/>
      <c r="S74" s="15"/>
      <c r="T74" s="15"/>
      <c r="U74" s="15"/>
      <c r="V74" s="15"/>
      <c r="W74" s="14"/>
      <c r="X74" s="14"/>
      <c r="Y74" s="14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4"/>
      <c r="AM74" s="14"/>
      <c r="AN74" s="14"/>
      <c r="AO74" s="14"/>
      <c r="AP74" s="15"/>
      <c r="AQ74" s="15"/>
      <c r="AR74" s="15"/>
      <c r="AS74" s="15"/>
      <c r="AT74" s="15"/>
      <c r="AU74" s="14"/>
      <c r="AV74" s="15"/>
      <c r="AW74" s="14"/>
      <c r="AX74" s="14"/>
      <c r="AY74" s="15"/>
      <c r="AZ74" s="14"/>
      <c r="BA74" s="14"/>
      <c r="BB74" s="14"/>
      <c r="BC74" s="15"/>
      <c r="BD74" s="15"/>
      <c r="BE74" s="15"/>
      <c r="BF74" s="15"/>
      <c r="BG74" s="15"/>
      <c r="BH74" s="15"/>
    </row>
    <row r="75" spans="1:60" ht="15.75" customHeight="1" x14ac:dyDescent="0.3">
      <c r="A75" s="1"/>
      <c r="B75" s="12">
        <v>71</v>
      </c>
      <c r="C75" s="43" t="s">
        <v>91</v>
      </c>
      <c r="D75" s="43"/>
      <c r="E75" s="45">
        <v>55</v>
      </c>
      <c r="F75" s="46" t="s">
        <v>5</v>
      </c>
      <c r="G75" s="41">
        <v>1</v>
      </c>
      <c r="H75" s="47"/>
      <c r="I75" s="47"/>
      <c r="J75" s="36"/>
      <c r="K75" s="18"/>
      <c r="L75" s="15"/>
      <c r="M75" s="14"/>
      <c r="N75" s="14"/>
      <c r="O75" s="14"/>
      <c r="P75" s="14"/>
      <c r="Q75" s="14"/>
      <c r="R75" s="15"/>
      <c r="S75" s="15"/>
      <c r="T75" s="15"/>
      <c r="U75" s="15"/>
      <c r="V75" s="15"/>
      <c r="W75" s="14"/>
      <c r="X75" s="14"/>
      <c r="Y75" s="14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4"/>
      <c r="AM75" s="14"/>
      <c r="AN75" s="14"/>
      <c r="AO75" s="14"/>
      <c r="AP75" s="15"/>
      <c r="AQ75" s="15"/>
      <c r="AR75" s="15"/>
      <c r="AS75" s="15"/>
      <c r="AT75" s="15"/>
      <c r="AU75" s="14"/>
      <c r="AV75" s="14"/>
      <c r="AW75" s="14"/>
      <c r="AX75" s="14"/>
      <c r="AY75" s="15"/>
      <c r="AZ75" s="14"/>
      <c r="BA75" s="14"/>
      <c r="BB75" s="14"/>
      <c r="BC75" s="15"/>
      <c r="BD75" s="15"/>
      <c r="BE75" s="15"/>
      <c r="BF75" s="15"/>
      <c r="BG75" s="15"/>
      <c r="BH75" s="15"/>
    </row>
    <row r="76" spans="1:60" ht="15.75" customHeight="1" x14ac:dyDescent="0.3">
      <c r="A76" s="1"/>
      <c r="B76" s="12">
        <v>72</v>
      </c>
      <c r="C76" s="43" t="s">
        <v>97</v>
      </c>
      <c r="D76" s="43"/>
      <c r="E76" s="45">
        <v>500.44</v>
      </c>
      <c r="F76" s="46" t="s">
        <v>4</v>
      </c>
      <c r="G76" s="41">
        <v>1</v>
      </c>
      <c r="H76" s="47"/>
      <c r="I76" s="47"/>
      <c r="J76" s="36"/>
      <c r="K76" s="18"/>
      <c r="L76" s="15"/>
      <c r="M76" s="14"/>
      <c r="N76" s="14"/>
      <c r="O76" s="14"/>
      <c r="P76" s="14"/>
      <c r="Q76" s="14"/>
      <c r="R76" s="15"/>
      <c r="S76" s="15"/>
      <c r="T76" s="15"/>
      <c r="U76" s="15"/>
      <c r="V76" s="15"/>
      <c r="W76" s="14"/>
      <c r="X76" s="14"/>
      <c r="Y76" s="14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4"/>
      <c r="AM76" s="14"/>
      <c r="AN76" s="14"/>
      <c r="AO76" s="14"/>
      <c r="AP76" s="15"/>
      <c r="AQ76" s="15"/>
      <c r="AR76" s="15"/>
      <c r="AS76" s="15"/>
      <c r="AT76" s="15"/>
      <c r="AU76" s="14"/>
      <c r="AV76" s="14"/>
      <c r="AW76" s="14"/>
      <c r="AX76" s="14"/>
      <c r="AY76" s="15"/>
      <c r="AZ76" s="14"/>
      <c r="BA76" s="14"/>
      <c r="BB76" s="14"/>
      <c r="BC76" s="15"/>
      <c r="BD76" s="15"/>
      <c r="BE76" s="15"/>
      <c r="BF76" s="15"/>
      <c r="BG76" s="15"/>
      <c r="BH76" s="15"/>
    </row>
    <row r="77" spans="1:60" ht="15.75" customHeight="1" x14ac:dyDescent="0.3">
      <c r="A77" s="1"/>
      <c r="B77" s="12">
        <v>73</v>
      </c>
      <c r="C77" s="43" t="s">
        <v>92</v>
      </c>
      <c r="D77" s="43"/>
      <c r="E77" s="45">
        <v>4.25</v>
      </c>
      <c r="F77" s="46" t="s">
        <v>3</v>
      </c>
      <c r="G77" s="41">
        <v>1</v>
      </c>
      <c r="H77" s="47"/>
      <c r="I77" s="47"/>
      <c r="J77" s="36"/>
      <c r="K77" s="18"/>
      <c r="L77" s="15"/>
      <c r="M77" s="14"/>
      <c r="N77" s="14"/>
      <c r="O77" s="14"/>
      <c r="P77" s="14"/>
      <c r="Q77" s="14"/>
      <c r="R77" s="15"/>
      <c r="S77" s="15"/>
      <c r="T77" s="15"/>
      <c r="U77" s="15"/>
      <c r="V77" s="15"/>
      <c r="W77" s="14"/>
      <c r="X77" s="14"/>
      <c r="Y77" s="14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4"/>
      <c r="AM77" s="14"/>
      <c r="AN77" s="14"/>
      <c r="AO77" s="14"/>
      <c r="AP77" s="15"/>
      <c r="AQ77" s="15"/>
      <c r="AR77" s="15"/>
      <c r="AS77" s="15"/>
      <c r="AT77" s="15"/>
      <c r="AU77" s="14"/>
      <c r="AV77" s="14"/>
      <c r="AW77" s="14"/>
      <c r="AX77" s="14"/>
      <c r="AY77" s="15"/>
      <c r="AZ77" s="14"/>
      <c r="BA77" s="14"/>
      <c r="BB77" s="14"/>
      <c r="BC77" s="15"/>
      <c r="BD77" s="15"/>
      <c r="BE77" s="15"/>
      <c r="BF77" s="15"/>
      <c r="BG77" s="15"/>
      <c r="BH77" s="15"/>
    </row>
    <row r="78" spans="1:60" ht="15.75" customHeight="1" x14ac:dyDescent="0.3">
      <c r="A78" s="1"/>
      <c r="B78" s="12">
        <v>74</v>
      </c>
      <c r="C78" s="43" t="s">
        <v>98</v>
      </c>
      <c r="D78" s="43"/>
      <c r="E78" s="45">
        <v>55</v>
      </c>
      <c r="F78" s="46" t="s">
        <v>5</v>
      </c>
      <c r="G78" s="41">
        <v>1</v>
      </c>
      <c r="H78" s="47"/>
      <c r="I78" s="47"/>
      <c r="J78" s="36"/>
      <c r="K78" s="18"/>
      <c r="L78" s="15"/>
      <c r="M78" s="14"/>
      <c r="N78" s="14"/>
      <c r="O78" s="14"/>
      <c r="P78" s="14"/>
      <c r="Q78" s="14"/>
      <c r="R78" s="15"/>
      <c r="S78" s="15"/>
      <c r="T78" s="15"/>
      <c r="U78" s="15"/>
      <c r="V78" s="15"/>
      <c r="W78" s="14"/>
      <c r="X78" s="14"/>
      <c r="Y78" s="14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4"/>
      <c r="AM78" s="14"/>
      <c r="AN78" s="14"/>
      <c r="AO78" s="14"/>
      <c r="AP78" s="15"/>
      <c r="AQ78" s="15"/>
      <c r="AR78" s="15"/>
      <c r="AS78" s="15"/>
      <c r="AT78" s="15"/>
      <c r="AU78" s="14"/>
      <c r="AV78" s="14"/>
      <c r="AW78" s="14"/>
      <c r="AX78" s="17"/>
      <c r="AY78" s="15"/>
      <c r="AZ78" s="14"/>
      <c r="BA78" s="14"/>
      <c r="BB78" s="14"/>
      <c r="BC78" s="15"/>
      <c r="BD78" s="15"/>
      <c r="BE78" s="15"/>
      <c r="BF78" s="15"/>
      <c r="BG78" s="15"/>
      <c r="BH78" s="15"/>
    </row>
    <row r="79" spans="1:60" ht="15.75" customHeight="1" x14ac:dyDescent="0.3">
      <c r="A79" s="1"/>
      <c r="B79" s="12">
        <v>75</v>
      </c>
      <c r="C79" s="42" t="s">
        <v>108</v>
      </c>
      <c r="D79" s="43"/>
      <c r="E79" s="43"/>
      <c r="F79" s="46"/>
      <c r="G79" s="41"/>
      <c r="H79" s="49"/>
      <c r="I79" s="43"/>
      <c r="J79" s="36"/>
      <c r="K79" s="18"/>
      <c r="L79" s="14"/>
      <c r="M79" s="14"/>
      <c r="N79" s="14"/>
      <c r="O79" s="14"/>
      <c r="P79" s="14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4"/>
      <c r="BF79" s="14"/>
      <c r="BG79" s="14"/>
      <c r="BH79" s="14"/>
    </row>
    <row r="80" spans="1:60" ht="15.75" customHeight="1" x14ac:dyDescent="0.3">
      <c r="A80" s="1"/>
      <c r="B80" s="12">
        <v>76</v>
      </c>
      <c r="C80" s="42" t="s">
        <v>95</v>
      </c>
      <c r="D80" s="43"/>
      <c r="E80" s="45"/>
      <c r="F80" s="46"/>
      <c r="G80" s="41"/>
      <c r="H80" s="49"/>
      <c r="I80" s="43"/>
      <c r="J80" s="36"/>
      <c r="K80" s="18"/>
      <c r="L80" s="14"/>
      <c r="M80" s="14"/>
      <c r="N80" s="14"/>
      <c r="O80" s="14"/>
      <c r="P80" s="14"/>
      <c r="Q80" s="15"/>
      <c r="R80" s="15"/>
      <c r="S80" s="14"/>
      <c r="T80" s="14"/>
      <c r="U80" s="14"/>
      <c r="V80" s="14"/>
      <c r="W80" s="14"/>
      <c r="X80" s="15"/>
      <c r="Y80" s="15"/>
      <c r="Z80" s="15"/>
      <c r="AA80" s="15"/>
      <c r="AB80" s="15"/>
      <c r="AC80" s="15"/>
      <c r="AD80" s="15"/>
      <c r="AE80" s="15"/>
      <c r="AF80" s="15"/>
      <c r="AG80" s="14"/>
      <c r="AH80" s="14"/>
      <c r="AI80" s="14"/>
      <c r="AJ80" s="14"/>
      <c r="AK80" s="15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/>
      <c r="BB80" s="14"/>
      <c r="BC80" s="15"/>
      <c r="BD80" s="14"/>
      <c r="BE80" s="14"/>
      <c r="BF80" s="14"/>
      <c r="BG80" s="14"/>
      <c r="BH80" s="14"/>
    </row>
    <row r="81" spans="1:60" ht="15.75" customHeight="1" x14ac:dyDescent="0.3">
      <c r="A81" s="1"/>
      <c r="B81" s="12">
        <v>77</v>
      </c>
      <c r="C81" s="43" t="s">
        <v>109</v>
      </c>
      <c r="D81" s="43"/>
      <c r="E81" s="45">
        <v>456.99</v>
      </c>
      <c r="F81" s="46" t="s">
        <v>5</v>
      </c>
      <c r="G81" s="41">
        <v>1</v>
      </c>
      <c r="H81" s="47"/>
      <c r="I81" s="47"/>
      <c r="J81" s="36"/>
      <c r="K81" s="18"/>
      <c r="L81" s="14"/>
      <c r="M81" s="14"/>
      <c r="N81" s="14"/>
      <c r="O81" s="14"/>
      <c r="P81" s="14"/>
      <c r="Q81" s="15"/>
      <c r="R81" s="15"/>
      <c r="S81" s="14"/>
      <c r="T81" s="14"/>
      <c r="U81" s="14"/>
      <c r="V81" s="14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4"/>
      <c r="AJ81" s="14"/>
      <c r="AK81" s="14"/>
      <c r="AL81" s="14"/>
      <c r="AM81" s="14"/>
      <c r="AN81" s="14"/>
      <c r="AO81" s="15"/>
      <c r="AP81" s="15"/>
      <c r="AQ81" s="15"/>
      <c r="AR81" s="14"/>
      <c r="AS81" s="14"/>
      <c r="AT81" s="15"/>
      <c r="AU81" s="14"/>
      <c r="AV81" s="14"/>
      <c r="AW81" s="14"/>
      <c r="AX81" s="14"/>
      <c r="AY81" s="15"/>
      <c r="AZ81" s="15"/>
      <c r="BA81" s="15"/>
      <c r="BB81" s="15"/>
      <c r="BC81" s="15"/>
      <c r="BD81" s="15"/>
      <c r="BE81" s="14"/>
      <c r="BF81" s="14"/>
      <c r="BG81" s="14"/>
      <c r="BH81" s="14"/>
    </row>
    <row r="82" spans="1:60" ht="15.75" customHeight="1" x14ac:dyDescent="0.3">
      <c r="A82" s="1"/>
      <c r="B82" s="12">
        <v>78</v>
      </c>
      <c r="C82" s="43" t="s">
        <v>113</v>
      </c>
      <c r="D82" s="43"/>
      <c r="E82" s="45">
        <v>1715.6</v>
      </c>
      <c r="F82" s="46" t="s">
        <v>5</v>
      </c>
      <c r="G82" s="41">
        <v>4</v>
      </c>
      <c r="H82" s="47"/>
      <c r="I82" s="47"/>
      <c r="J82" s="36"/>
      <c r="K82" s="18"/>
      <c r="L82" s="14"/>
      <c r="M82" s="14"/>
      <c r="N82" s="14"/>
      <c r="O82" s="14"/>
      <c r="P82" s="14"/>
      <c r="Q82" s="15"/>
      <c r="R82" s="15"/>
      <c r="S82" s="14"/>
      <c r="T82" s="14"/>
      <c r="U82" s="14"/>
      <c r="V82" s="14"/>
      <c r="W82" s="15"/>
      <c r="X82" s="15"/>
      <c r="Y82" s="15"/>
      <c r="Z82" s="15"/>
      <c r="AA82" s="15"/>
      <c r="AB82" s="15"/>
      <c r="AC82" s="15"/>
      <c r="AD82" s="15"/>
      <c r="AE82" s="15"/>
      <c r="AF82" s="14"/>
      <c r="AG82" s="14"/>
      <c r="AH82" s="14"/>
      <c r="AI82" s="14"/>
      <c r="AJ82" s="14"/>
      <c r="AK82" s="14"/>
      <c r="AL82" s="14"/>
      <c r="AM82" s="14"/>
      <c r="AN82" s="14"/>
      <c r="AO82" s="15"/>
      <c r="AP82" s="15"/>
      <c r="AQ82" s="15"/>
      <c r="AR82" s="14"/>
      <c r="AS82" s="14"/>
      <c r="AT82" s="14"/>
      <c r="AU82" s="14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4"/>
      <c r="BG82" s="14"/>
      <c r="BH82" s="14"/>
    </row>
    <row r="83" spans="1:60" ht="15.75" customHeight="1" x14ac:dyDescent="0.3">
      <c r="A83" s="1"/>
      <c r="B83" s="12">
        <v>79</v>
      </c>
      <c r="C83" s="43" t="s">
        <v>110</v>
      </c>
      <c r="D83" s="43"/>
      <c r="E83" s="45">
        <f>E82*2</f>
        <v>3431.2</v>
      </c>
      <c r="F83" s="46" t="s">
        <v>5</v>
      </c>
      <c r="G83" s="41">
        <v>2</v>
      </c>
      <c r="H83" s="47"/>
      <c r="I83" s="47"/>
      <c r="J83" s="36"/>
      <c r="K83" s="18"/>
      <c r="L83" s="14"/>
      <c r="M83" s="14"/>
      <c r="N83" s="14"/>
      <c r="O83" s="14"/>
      <c r="P83" s="14"/>
      <c r="Q83" s="15"/>
      <c r="R83" s="15"/>
      <c r="S83" s="14"/>
      <c r="T83" s="14"/>
      <c r="U83" s="14"/>
      <c r="V83" s="14"/>
      <c r="W83" s="15"/>
      <c r="X83" s="15"/>
      <c r="Y83" s="15"/>
      <c r="Z83" s="15"/>
      <c r="AA83" s="15"/>
      <c r="AB83" s="15"/>
      <c r="AC83" s="15"/>
      <c r="AD83" s="15"/>
      <c r="AE83" s="15"/>
      <c r="AF83" s="14"/>
      <c r="AG83" s="14"/>
      <c r="AH83" s="14"/>
      <c r="AI83" s="14"/>
      <c r="AJ83" s="14"/>
      <c r="AK83" s="14"/>
      <c r="AL83" s="14"/>
      <c r="AM83" s="14"/>
      <c r="AN83" s="14"/>
      <c r="AO83" s="15"/>
      <c r="AP83" s="15"/>
      <c r="AQ83" s="15"/>
      <c r="AR83" s="14"/>
      <c r="AS83" s="14"/>
      <c r="AT83" s="14"/>
      <c r="AU83" s="14"/>
      <c r="AV83" s="14"/>
      <c r="AW83" s="14"/>
      <c r="AX83" s="15"/>
      <c r="AY83" s="15"/>
      <c r="AZ83" s="15"/>
      <c r="BA83" s="15"/>
      <c r="BB83" s="15"/>
      <c r="BC83" s="15"/>
      <c r="BD83" s="15"/>
      <c r="BE83" s="15"/>
      <c r="BF83" s="14"/>
      <c r="BG83" s="14"/>
      <c r="BH83" s="14"/>
    </row>
    <row r="84" spans="1:60" ht="15.75" customHeight="1" x14ac:dyDescent="0.3">
      <c r="A84" s="1"/>
      <c r="B84" s="12">
        <v>80</v>
      </c>
      <c r="C84" s="43" t="s">
        <v>111</v>
      </c>
      <c r="D84" s="43"/>
      <c r="E84" s="45">
        <v>456.92</v>
      </c>
      <c r="F84" s="46" t="s">
        <v>5</v>
      </c>
      <c r="G84" s="41">
        <v>1</v>
      </c>
      <c r="H84" s="47"/>
      <c r="I84" s="47"/>
      <c r="J84" s="36"/>
      <c r="K84" s="18"/>
      <c r="L84" s="14"/>
      <c r="M84" s="14"/>
      <c r="N84" s="14"/>
      <c r="O84" s="14"/>
      <c r="P84" s="14"/>
      <c r="Q84" s="15"/>
      <c r="R84" s="15"/>
      <c r="S84" s="14"/>
      <c r="T84" s="14"/>
      <c r="U84" s="14"/>
      <c r="V84" s="14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4"/>
      <c r="AH84" s="14"/>
      <c r="AI84" s="14"/>
      <c r="AJ84" s="14"/>
      <c r="AK84" s="14"/>
      <c r="AL84" s="14"/>
      <c r="AM84" s="14"/>
      <c r="AN84" s="14"/>
      <c r="AO84" s="15"/>
      <c r="AP84" s="15"/>
      <c r="AQ84" s="15"/>
      <c r="AR84" s="14"/>
      <c r="AS84" s="14"/>
      <c r="AT84" s="15"/>
      <c r="AU84" s="15"/>
      <c r="AV84" s="14"/>
      <c r="AW84" s="14"/>
      <c r="AX84" s="17"/>
      <c r="AY84" s="15"/>
      <c r="AZ84" s="15"/>
      <c r="BA84" s="15"/>
      <c r="BB84" s="15"/>
      <c r="BC84" s="15"/>
      <c r="BD84" s="15"/>
      <c r="BE84" s="15"/>
      <c r="BF84" s="14"/>
      <c r="BG84" s="14"/>
      <c r="BH84" s="14"/>
    </row>
    <row r="85" spans="1:60" ht="15.75" customHeight="1" x14ac:dyDescent="0.3">
      <c r="A85" s="1"/>
      <c r="B85" s="12">
        <v>81</v>
      </c>
      <c r="C85" s="42" t="s">
        <v>102</v>
      </c>
      <c r="D85" s="43"/>
      <c r="E85" s="45"/>
      <c r="F85" s="46"/>
      <c r="G85" s="41"/>
      <c r="H85" s="49"/>
      <c r="I85" s="43"/>
      <c r="J85" s="36"/>
      <c r="K85" s="18"/>
      <c r="L85" s="14"/>
      <c r="M85" s="14"/>
      <c r="N85" s="14"/>
      <c r="O85" s="14"/>
      <c r="P85" s="14"/>
      <c r="Q85" s="15"/>
      <c r="R85" s="15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</row>
    <row r="86" spans="1:60" ht="15.75" customHeight="1" x14ac:dyDescent="0.3">
      <c r="A86" s="1"/>
      <c r="B86" s="12">
        <v>82</v>
      </c>
      <c r="C86" s="43" t="s">
        <v>109</v>
      </c>
      <c r="D86" s="43"/>
      <c r="E86" s="45">
        <v>456.79</v>
      </c>
      <c r="F86" s="46" t="s">
        <v>5</v>
      </c>
      <c r="G86" s="41">
        <v>2</v>
      </c>
      <c r="H86" s="47"/>
      <c r="I86" s="47"/>
      <c r="J86" s="36"/>
      <c r="K86" s="18"/>
      <c r="L86" s="14"/>
      <c r="M86" s="14"/>
      <c r="N86" s="14"/>
      <c r="O86" s="14"/>
      <c r="P86" s="14"/>
      <c r="Q86" s="15"/>
      <c r="R86" s="15"/>
      <c r="S86" s="14"/>
      <c r="T86" s="14"/>
      <c r="U86" s="14"/>
      <c r="V86" s="14"/>
      <c r="W86" s="14"/>
      <c r="X86" s="14"/>
      <c r="Y86" s="14"/>
      <c r="Z86" s="14"/>
      <c r="AA86" s="14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</row>
    <row r="87" spans="1:60" ht="15.75" customHeight="1" x14ac:dyDescent="0.3">
      <c r="A87" s="1"/>
      <c r="B87" s="12">
        <v>83</v>
      </c>
      <c r="C87" s="43" t="s">
        <v>113</v>
      </c>
      <c r="D87" s="43"/>
      <c r="E87" s="45">
        <v>1860.72</v>
      </c>
      <c r="F87" s="46" t="s">
        <v>5</v>
      </c>
      <c r="G87" s="41">
        <v>4</v>
      </c>
      <c r="H87" s="47"/>
      <c r="I87" s="47"/>
      <c r="J87" s="36"/>
      <c r="K87" s="18"/>
      <c r="L87" s="14"/>
      <c r="M87" s="14"/>
      <c r="N87" s="14"/>
      <c r="O87" s="14"/>
      <c r="P87" s="14"/>
      <c r="Q87" s="15"/>
      <c r="R87" s="15"/>
      <c r="S87" s="14"/>
      <c r="T87" s="14"/>
      <c r="U87" s="14"/>
      <c r="V87" s="14"/>
      <c r="W87" s="14"/>
      <c r="X87" s="14"/>
      <c r="Y87" s="14"/>
      <c r="Z87" s="14"/>
      <c r="AA87" s="14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5"/>
      <c r="BD87" s="15"/>
      <c r="BE87" s="15"/>
      <c r="BF87" s="15"/>
      <c r="BG87" s="14"/>
      <c r="BH87" s="15"/>
    </row>
    <row r="88" spans="1:60" ht="15.75" customHeight="1" x14ac:dyDescent="0.3">
      <c r="A88" s="1"/>
      <c r="B88" s="12">
        <v>84</v>
      </c>
      <c r="C88" s="43" t="s">
        <v>110</v>
      </c>
      <c r="D88" s="43"/>
      <c r="E88" s="45">
        <f>E87*2</f>
        <v>3721.44</v>
      </c>
      <c r="F88" s="46" t="s">
        <v>5</v>
      </c>
      <c r="G88" s="41">
        <v>4</v>
      </c>
      <c r="H88" s="47"/>
      <c r="I88" s="47"/>
      <c r="J88" s="36"/>
      <c r="K88" s="18"/>
      <c r="L88" s="14"/>
      <c r="M88" s="14"/>
      <c r="N88" s="14"/>
      <c r="O88" s="14"/>
      <c r="P88" s="14"/>
      <c r="Q88" s="15"/>
      <c r="R88" s="15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5"/>
      <c r="BH88" s="15"/>
    </row>
    <row r="89" spans="1:60" ht="15.75" customHeight="1" x14ac:dyDescent="0.3">
      <c r="A89" s="1"/>
      <c r="B89" s="12">
        <v>85</v>
      </c>
      <c r="C89" s="43" t="s">
        <v>111</v>
      </c>
      <c r="D89" s="43"/>
      <c r="E89" s="45">
        <v>456.72</v>
      </c>
      <c r="F89" s="46" t="s">
        <v>5</v>
      </c>
      <c r="G89" s="41">
        <v>1</v>
      </c>
      <c r="H89" s="47"/>
      <c r="I89" s="47"/>
      <c r="J89" s="36"/>
      <c r="K89" s="18"/>
      <c r="L89" s="14"/>
      <c r="M89" s="14"/>
      <c r="N89" s="14"/>
      <c r="O89" s="14"/>
      <c r="P89" s="14"/>
      <c r="Q89" s="15"/>
      <c r="R89" s="15"/>
      <c r="S89" s="14"/>
      <c r="T89" s="14"/>
      <c r="U89" s="14"/>
      <c r="V89" s="14"/>
      <c r="W89" s="14"/>
      <c r="X89" s="14"/>
      <c r="Y89" s="14"/>
      <c r="Z89" s="14"/>
      <c r="AA89" s="14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7"/>
      <c r="BH89" s="15"/>
    </row>
    <row r="90" spans="1:60" ht="15" customHeight="1" x14ac:dyDescent="0.3">
      <c r="A90" s="1"/>
      <c r="B90" s="24"/>
      <c r="C90" s="56" t="s">
        <v>112</v>
      </c>
      <c r="D90" s="57"/>
      <c r="E90" s="57"/>
      <c r="F90" s="57"/>
      <c r="G90" s="57"/>
      <c r="H90" s="57"/>
      <c r="I90" s="58"/>
      <c r="J90" s="37"/>
      <c r="K90" s="19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</row>
    <row r="91" spans="1:60" ht="15" customHeight="1" x14ac:dyDescent="0.3">
      <c r="A91" s="1"/>
      <c r="B91" s="54"/>
      <c r="C91" s="59" t="s">
        <v>116</v>
      </c>
      <c r="D91" s="60"/>
      <c r="E91" s="60"/>
      <c r="F91" s="60"/>
      <c r="G91" s="60"/>
      <c r="H91" s="60"/>
      <c r="I91" s="58"/>
      <c r="J91" s="37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</row>
    <row r="92" spans="1:60" ht="15.75" customHeight="1" x14ac:dyDescent="0.3">
      <c r="A92" s="1"/>
      <c r="B92" s="21"/>
      <c r="C92" s="51" t="s">
        <v>114</v>
      </c>
      <c r="D92" s="39"/>
      <c r="E92" s="39"/>
      <c r="F92" s="39"/>
      <c r="G92" s="39"/>
      <c r="H92" s="39"/>
      <c r="I92" s="39"/>
      <c r="J92" s="52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</row>
    <row r="93" spans="1:60" ht="15.75" customHeight="1" x14ac:dyDescent="0.3">
      <c r="A93" s="1"/>
      <c r="B93" s="13"/>
      <c r="C93" s="51" t="s">
        <v>115</v>
      </c>
      <c r="D93" s="39"/>
      <c r="E93" s="39"/>
      <c r="F93" s="39"/>
      <c r="G93" s="39"/>
      <c r="H93" s="39"/>
      <c r="I93" s="39"/>
      <c r="J93" s="52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</row>
    <row r="94" spans="1:60" ht="15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spans="1:60" ht="15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spans="1:60" ht="15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spans="1:60" ht="15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spans="1:60" ht="15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spans="1:60" ht="15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spans="1:60" ht="15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ht="15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ht="15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ht="15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ht="15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ht="15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 ht="15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 ht="15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 ht="15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 ht="15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 ht="15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 ht="15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 ht="15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 ht="15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 ht="15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 ht="15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ht="15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ht="15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 ht="15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ht="15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ht="15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 ht="15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 ht="15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 ht="15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 ht="15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 ht="15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 ht="15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 ht="15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 ht="15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ht="15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 ht="15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ht="15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ht="15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ht="15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 spans="1:60" ht="15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 spans="1:60" ht="15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 spans="1:60" ht="15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 ht="15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 spans="1:60" ht="15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 ht="15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 spans="1:60" ht="15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 spans="1:60" ht="15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 spans="1:60" ht="15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 spans="1:60" ht="15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spans="1:60" ht="15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spans="1:60" ht="15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spans="1:60" ht="15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spans="1:60" ht="15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spans="1:60" ht="15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spans="1:60" ht="15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 spans="1:60" ht="15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 spans="1:60" ht="15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 spans="1:60" ht="15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 spans="1:60" ht="15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 spans="1:60" ht="15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 spans="1:60" ht="15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 spans="1:60" ht="15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 spans="1:60" ht="15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 spans="1:60" ht="15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 spans="1:60" ht="15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spans="1:60" ht="15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 spans="1:60" ht="15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spans="1:60" ht="15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 spans="1:60" ht="15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 spans="1:60" ht="15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spans="1:60" ht="15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 spans="1:60" ht="15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 spans="1:60" ht="15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spans="1:60" ht="15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spans="1:60" ht="15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spans="1:60" ht="15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spans="1:60" ht="15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spans="1:60" ht="15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spans="1:60" ht="15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spans="1:60" ht="15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spans="1:60" ht="15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spans="1:60" ht="15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spans="1:60" ht="15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spans="1:60" ht="15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spans="1:60" ht="15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spans="1:60" ht="15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spans="1:60" ht="15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spans="1:60" ht="15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spans="1:60" ht="15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 spans="1:60" ht="15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 spans="1:60" ht="15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 spans="1:60" ht="15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 spans="1:60" ht="15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 spans="1:60" ht="15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 spans="1:60" ht="15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spans="1:60" ht="15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 spans="1:60" ht="15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 spans="1:60" ht="15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 spans="1:60" ht="15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 spans="1:60" ht="15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 spans="1:60" ht="15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 spans="1:60" ht="15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 spans="1:60" ht="15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 spans="1:60" ht="15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spans="1:60" ht="15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 spans="1:60" ht="15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 spans="1:60" ht="15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 spans="1:60" ht="15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 spans="1:60" ht="15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 spans="1:60" ht="15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 spans="1:60" ht="15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 spans="1:60" ht="15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 spans="1:60" ht="15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 spans="1:60" ht="15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spans="1:60" ht="15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 spans="1:60" ht="15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 spans="1:60" ht="15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 spans="1:60" ht="15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 spans="1:60" ht="15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 spans="1:60" ht="15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 spans="1:60" ht="15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 spans="1:60" ht="15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 spans="1:60" ht="15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 spans="1:60" ht="15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 spans="1:60" ht="15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 spans="1:60" ht="15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 spans="1:60" ht="15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 spans="1:60" ht="15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 spans="1:60" ht="15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 spans="1:60" ht="15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 spans="1:60" ht="15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 spans="1:60" ht="15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 spans="1:60" ht="15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spans="1:60" ht="15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 spans="1:60" ht="15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 spans="1:60" ht="15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 spans="1:60" ht="15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 spans="1:60" ht="15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 spans="1:60" ht="15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spans="1:60" ht="15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 spans="1:60" ht="15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 spans="1:60" ht="15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 spans="1:60" ht="15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 spans="1:60" ht="15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 spans="1:60" ht="15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 spans="1:60" ht="15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 spans="1:60" ht="15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 spans="1:60" ht="15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 spans="1:60" ht="15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 spans="1:60" ht="15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 spans="1:60" ht="15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 spans="1:60" ht="15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 spans="1:60" ht="15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 spans="1:60" ht="15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 spans="1:60" ht="15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 spans="1:60" ht="15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 spans="1:60" ht="15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spans="1:60" ht="15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 spans="1:60" ht="15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 spans="1:60" ht="15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 spans="1:60" ht="15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 spans="1:60" ht="15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spans="1:60" ht="15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spans="1:60" ht="15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ht="15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 spans="1:60" ht="15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spans="1:60" ht="15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 spans="1:60" ht="15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 spans="1:60" ht="15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 spans="1:60" ht="15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 spans="1:60" ht="15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 spans="1:60" ht="15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 spans="1:60" ht="15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 spans="1:60" ht="15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 spans="1:60" ht="15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 spans="1:60" ht="15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 spans="1:60" ht="15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 spans="1:60" ht="15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spans="1:60" ht="15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 spans="1:60" ht="15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 spans="1:60" ht="15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 spans="1:60" ht="15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 spans="1:60" ht="15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 spans="1:60" ht="15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 spans="1:60" ht="15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 spans="1:60" ht="15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 spans="1:60" ht="15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 spans="1:60" ht="15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 spans="1:60" ht="15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 spans="1:60" ht="15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 spans="1:60" ht="15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 spans="1:60" ht="15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 spans="1:60" ht="15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 spans="1:60" ht="15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 spans="1:60" ht="15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 spans="1:60" ht="15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 spans="1:60" ht="15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 spans="1:60" ht="15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 spans="1:60" ht="15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 spans="1:60" ht="15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spans="1:60" ht="15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 spans="1:60" ht="15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 spans="1:60" ht="15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 spans="1:60" ht="15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 spans="1:60" ht="15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 spans="1:60" ht="15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 spans="1:60" ht="15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spans="1:60" ht="15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 spans="1:60" ht="15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 spans="1:60" ht="15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 spans="1:60" ht="15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 spans="1:60" ht="15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 spans="1:60" ht="15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spans="1:60" ht="15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 spans="1:60" ht="15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 spans="1:60" ht="15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 spans="1:60" ht="15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 spans="1:60" ht="15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 spans="1:60" ht="15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 spans="1:60" ht="15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 spans="1:60" ht="15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 spans="1:60" ht="15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 spans="1:60" ht="15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 spans="1:60" ht="15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 spans="1:60" ht="15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 spans="1:60" ht="15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 spans="1:60" ht="15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 spans="1:60" ht="15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 spans="1:60" ht="15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 spans="1:60" ht="15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 spans="1:60" ht="15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 spans="1:60" ht="15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 spans="1:60" ht="15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 spans="1:60" ht="15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 spans="1:60" ht="15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 spans="1:60" ht="15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 spans="1:60" ht="15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 spans="1:60" ht="15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 spans="1:60" ht="15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 spans="1:60" ht="15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 spans="1:60" ht="15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 spans="1:60" ht="15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 spans="1:60" ht="15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 spans="1:60" ht="15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 spans="1:60" ht="15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 spans="1:60" ht="15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 spans="1:60" ht="15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 spans="1:60" ht="15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 spans="1:60" ht="15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 spans="1:60" ht="15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 spans="1:60" ht="15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 spans="1:60" ht="15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 spans="1:60" ht="15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 spans="1:60" ht="15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 spans="1:60" ht="15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 spans="1:60" ht="15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spans="1:60" ht="15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 spans="1:60" ht="15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 spans="1:60" ht="15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 spans="1:60" ht="15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 spans="1:60" ht="15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 spans="1:60" ht="15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 spans="1:60" ht="15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 spans="1:60" ht="15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 spans="1:60" ht="15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 spans="1:60" ht="15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 spans="1:60" ht="15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 spans="1:60" ht="15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 spans="1:60" ht="15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 spans="1:60" ht="15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 spans="1:60" ht="15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 spans="1:60" ht="15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 spans="1:60" ht="15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 spans="1:60" ht="15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 spans="1:60" ht="15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 spans="1:60" ht="15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 spans="1:60" ht="15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 spans="1:60" ht="15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 spans="1:60" ht="15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 spans="1:60" ht="15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 spans="1:60" ht="15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 spans="1:60" ht="15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 spans="1:60" ht="15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 spans="1:60" ht="15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 spans="1:60" ht="15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 spans="1:60" ht="15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 spans="1:60" ht="15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 spans="1:60" ht="15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 spans="1:60" ht="15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 spans="1:60" ht="15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 spans="1:60" ht="15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 spans="1:60" ht="15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 spans="1:60" ht="15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 spans="1:60" ht="15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 spans="1:60" ht="15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 spans="1:60" ht="15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 spans="1:60" ht="15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 spans="1:60" ht="15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 spans="1:60" ht="15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 spans="1:60" ht="15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 spans="1:60" ht="15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 spans="1:60" ht="15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 spans="1:60" ht="15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 spans="1:60" ht="15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 spans="1:60" ht="15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 spans="1:60" ht="15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 spans="1:60" ht="15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 spans="1:60" ht="15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 spans="1:60" ht="15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 spans="1:60" ht="15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 spans="1:60" ht="15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 spans="1:60" ht="15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spans="1:60" ht="15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 spans="1:60" ht="15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 spans="1:60" ht="15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 spans="1:60" ht="15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 spans="1:60" ht="15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 spans="1:60" ht="15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 spans="1:60" ht="15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 spans="1:60" ht="15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 spans="1:60" ht="15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 spans="1:60" ht="15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 spans="1:60" ht="15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 spans="1:60" ht="15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 spans="1:60" ht="15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 spans="1:60" ht="15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 spans="1:60" ht="15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 spans="1:60" ht="15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 spans="1:60" ht="15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 spans="1:60" ht="15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 spans="1:60" ht="15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 spans="1:60" ht="15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 spans="1:60" ht="15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 spans="1:60" ht="15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 spans="1:60" ht="15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 spans="1:60" ht="15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 spans="1:60" ht="15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 spans="1:60" ht="15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 spans="1:60" ht="15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 spans="1:60" ht="15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 spans="1:60" ht="15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 spans="1:60" ht="15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 spans="1:60" ht="15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 spans="1:60" ht="15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 spans="1:60" ht="15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 spans="1:60" ht="15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 spans="1:60" ht="15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 spans="1:60" ht="15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 spans="1:60" ht="15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 spans="1:60" ht="15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 spans="1:60" ht="15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 spans="1:60" ht="15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 spans="1:60" ht="15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 spans="1:60" ht="15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 spans="1:60" ht="15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 spans="1:60" ht="15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 spans="1:60" ht="15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 spans="1:60" ht="15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 spans="1:60" ht="15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 spans="1:60" ht="15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 spans="1:60" ht="15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 spans="1:60" ht="15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 spans="1:60" ht="15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 spans="1:60" ht="15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 spans="1:60" ht="15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 spans="1:60" ht="15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 spans="1:60" ht="15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 spans="1:60" ht="15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 spans="1:60" ht="15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 spans="1:60" ht="15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 spans="1:60" ht="15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 spans="1:60" ht="15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 spans="1:60" ht="15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 spans="1:60" ht="15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 spans="1:60" ht="15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 spans="1:60" ht="15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 spans="1:60" ht="15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 spans="1:60" ht="15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 spans="1:60" ht="15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 spans="1:60" ht="15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spans="1:60" ht="15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spans="1:60" ht="15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 spans="1:60" ht="15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 spans="1:60" ht="15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 spans="1:60" ht="15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 spans="1:60" ht="15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 spans="1:60" ht="15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 spans="1:60" ht="15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 spans="1:60" ht="15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 spans="1:60" ht="15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 spans="1:60" ht="15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 spans="1:60" ht="15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 spans="1:60" ht="15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 spans="1:60" ht="15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 spans="1:60" ht="15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 spans="1:60" ht="15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 spans="1:60" ht="15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 spans="1:60" ht="15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 spans="1:60" ht="15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 spans="1:60" ht="15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 spans="1:60" ht="15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 spans="1:60" ht="15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 spans="1:60" ht="15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 spans="1:60" ht="15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 spans="1:60" ht="15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 spans="1:60" ht="15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 spans="1:60" ht="15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 spans="1:60" ht="15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 spans="1:60" ht="15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 spans="1:60" ht="15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 spans="1:60" ht="15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 spans="1:60" ht="15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 spans="1:60" ht="15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 spans="1:60" ht="15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 spans="1:60" ht="15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 spans="1:60" ht="15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 spans="1:60" ht="15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 spans="1:60" ht="15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 spans="1:60" ht="15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 spans="1:60" ht="15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 spans="1:60" ht="15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 spans="1:60" ht="15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 spans="1:60" ht="15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 spans="1:60" ht="15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 spans="1:60" ht="15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 spans="1:60" ht="15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 spans="1:60" ht="15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 spans="1:60" ht="15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 spans="1:60" ht="15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 spans="1:60" ht="15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 spans="1:60" ht="15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 spans="1:60" ht="15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 spans="1:60" ht="15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spans="1:60" ht="15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 spans="1:60" ht="15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 spans="1:60" ht="15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 spans="1:60" ht="15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 spans="1:60" ht="15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 spans="1:60" ht="15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 spans="1:60" ht="15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 spans="1:60" ht="15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 spans="1:60" ht="15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 spans="1:60" ht="15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 spans="1:60" ht="15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 spans="1:60" ht="15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 spans="1:60" ht="15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 spans="1:60" ht="15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 spans="1:60" ht="15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 spans="1:60" ht="15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 spans="1:60" ht="15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 spans="1:60" ht="15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 spans="1:60" ht="15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 spans="1:60" ht="15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 spans="1:60" ht="15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 spans="1:60" ht="15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 spans="1:60" ht="15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 spans="1:60" ht="15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 spans="1:60" ht="15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 spans="1:60" ht="15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 spans="1:60" ht="15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 spans="1:60" ht="15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 spans="1:60" ht="15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 spans="1:60" ht="15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 spans="1:60" ht="15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 spans="1:60" ht="15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 spans="1:60" ht="15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 spans="1:60" ht="15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 spans="1:60" ht="15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 spans="1:60" ht="15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 spans="1:60" ht="15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 spans="1:60" ht="15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 spans="1:60" ht="15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 spans="1:60" ht="15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 spans="1:60" ht="15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 spans="1:60" ht="15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 spans="1:60" ht="15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 spans="1:60" ht="15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 spans="1:60" ht="15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 spans="1:60" ht="15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 spans="1:60" ht="15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 spans="1:60" ht="15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 spans="1:60" ht="15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 spans="1:60" ht="15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 spans="1:60" ht="15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 spans="1:60" ht="15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 spans="1:60" ht="15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 spans="1:60" ht="15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 spans="1:60" ht="15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 spans="1:60" ht="15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 spans="1:60" ht="15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 spans="1:60" ht="15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 spans="1:60" ht="15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 spans="1:60" ht="15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 spans="1:60" ht="15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 spans="1:60" ht="15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 spans="1:60" ht="15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 spans="1:60" ht="15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 spans="1:60" ht="15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 spans="1:60" ht="15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 spans="1:60" ht="15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 spans="1:60" ht="15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 spans="1:60" ht="15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 spans="1:60" ht="15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 spans="1:60" ht="15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 spans="1:60" ht="15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 spans="1:60" ht="15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 spans="1:60" ht="15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 spans="1:60" ht="15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 spans="1:60" ht="15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 spans="1:60" ht="15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 spans="1:60" ht="15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 spans="1:60" ht="15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 spans="1:60" ht="15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 spans="1:60" ht="15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 spans="1:60" ht="15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 spans="1:60" ht="15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 spans="1:60" ht="15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 spans="1:60" ht="15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 spans="1:60" ht="15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 spans="1:60" ht="15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 spans="1:60" ht="15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 spans="1:60" ht="15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 spans="1:60" ht="15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 spans="1:60" ht="15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 spans="1:60" ht="15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 spans="1:60" ht="15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 spans="1:60" ht="15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 spans="1:60" ht="15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 spans="1:60" ht="15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 spans="1:60" ht="15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 spans="1:60" ht="15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 spans="1:60" ht="15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 spans="1:60" ht="15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 spans="1:60" ht="15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 spans="1:60" ht="15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 spans="1:60" ht="15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 spans="1:60" ht="15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 spans="1:60" ht="15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 spans="1:60" ht="15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 spans="1:60" ht="15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 spans="1:60" ht="15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 spans="1:60" ht="15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 spans="1:60" ht="15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 spans="1:60" ht="15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 spans="1:60" ht="15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 spans="1:60" ht="15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 spans="1:60" ht="15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 spans="1:60" ht="15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 spans="1:60" ht="15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 spans="1:60" ht="15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 spans="1:60" ht="15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 spans="1:60" ht="15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 spans="1:60" ht="15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 spans="1:60" ht="15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 spans="1:60" ht="15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 spans="1:60" ht="15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 spans="1:60" ht="15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 spans="1:60" ht="15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 spans="1:60" ht="15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 spans="1:60" ht="15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 spans="1:60" ht="15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 spans="1:60" ht="15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 spans="1:60" ht="15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 spans="1:60" ht="15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 spans="1:60" ht="15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 spans="1:60" ht="15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 spans="1:60" ht="15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 spans="1:60" ht="15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 spans="1:60" ht="15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 spans="1:60" ht="15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 spans="1:60" ht="15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 spans="1:60" ht="15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 spans="1:60" ht="15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 spans="1:60" ht="15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 spans="1:60" ht="15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 spans="1:60" ht="15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 spans="1:60" ht="15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 spans="1:60" ht="15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 spans="1:60" ht="15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 spans="1:60" ht="15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 spans="1:60" ht="15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 spans="1:60" ht="15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 spans="1:60" ht="15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 spans="1:60" ht="15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 spans="1:60" ht="15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 spans="1:60" ht="15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 spans="1:60" ht="15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 spans="1:60" ht="15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 spans="1:60" ht="15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 spans="1:60" ht="15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 spans="1:60" ht="15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 spans="1:60" ht="15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 spans="1:60" ht="15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 spans="1:60" ht="15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 spans="1:60" ht="15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 spans="1:60" ht="15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 spans="1:60" ht="15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 spans="1:60" ht="15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 spans="1:60" ht="15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 spans="1:60" ht="15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 spans="1:60" ht="15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 spans="1:60" ht="15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 spans="1:60" ht="15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 spans="1:60" ht="15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 spans="1:60" ht="15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 spans="1:60" ht="15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 spans="1:60" ht="15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 spans="1:60" ht="15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 spans="1:60" ht="15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 spans="1:60" ht="15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 spans="1:60" ht="15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 spans="1:60" ht="15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 spans="1:60" ht="15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 spans="1:60" ht="15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 spans="1:60" ht="15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 spans="1:60" ht="15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 spans="1:60" ht="15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 spans="1:60" ht="15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 spans="1:60" ht="15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 spans="1:60" ht="15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 spans="1:60" ht="15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 spans="1:60" ht="15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 spans="1:60" ht="15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 spans="1:60" ht="15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 spans="1:60" ht="15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 spans="1:60" ht="15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 spans="1:60" ht="15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 spans="1:60" ht="15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 spans="1:60" ht="15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spans="1:60" ht="15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spans="1:60" ht="15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 spans="1:60" ht="15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 spans="1:60" ht="15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 spans="1:60" ht="15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 spans="1:60" ht="15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 spans="1:60" ht="15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 spans="1:60" ht="15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 spans="1:60" ht="15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 spans="1:60" ht="15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 spans="1:60" ht="15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 spans="1:60" ht="15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 spans="1:60" ht="15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 spans="1:60" ht="15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 spans="1:60" ht="15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 spans="1:60" ht="15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 spans="1:60" ht="15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 spans="1:60" ht="15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 spans="1:60" ht="15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 spans="1:60" ht="15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 spans="1:60" ht="15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 spans="1:60" ht="15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 spans="1:60" ht="15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 spans="1:60" ht="15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 spans="1:60" ht="15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 spans="1:60" ht="15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 spans="1:60" ht="15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 spans="1:60" ht="15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 spans="1:60" ht="15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 spans="1:60" ht="15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 spans="1:60" ht="15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 spans="1:60" ht="15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 spans="1:60" ht="15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 spans="1:60" ht="15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 spans="1:60" ht="15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 spans="1:60" ht="15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 spans="1:60" ht="15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 spans="1:60" ht="15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 spans="1:60" ht="15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 spans="1:60" ht="15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 spans="1:60" ht="15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 spans="1:60" ht="15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 spans="1:60" ht="15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 spans="1:60" ht="15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 spans="1:60" ht="15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 spans="1:60" ht="15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 spans="1:60" ht="15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 spans="1:60" ht="15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 spans="1:60" ht="15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 spans="1:60" ht="15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 spans="1:60" ht="15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 spans="1:60" ht="15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 spans="1:60" ht="15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 spans="1:60" ht="15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 spans="1:60" ht="15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 spans="1:60" ht="15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 spans="1:60" ht="15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 spans="1:60" ht="15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 spans="1:60" ht="15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 spans="1:60" ht="15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 spans="1:60" ht="15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 spans="1:60" ht="15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 spans="1:60" ht="15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 spans="1:60" ht="15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 spans="1:60" ht="15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 spans="1:60" ht="15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 spans="1:60" ht="15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 spans="1:60" ht="15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 spans="1:60" ht="15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 spans="1:60" ht="15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 spans="1:60" ht="15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 spans="1:60" ht="15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 spans="1:60" ht="15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 spans="1:60" ht="15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 spans="1:60" ht="15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 spans="1:60" ht="15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 spans="1:60" ht="15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 spans="1:60" ht="15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 spans="1:60" ht="15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 spans="1:60" ht="15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 spans="1:60" ht="15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 spans="1:60" ht="15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 spans="1:60" ht="15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 spans="1:60" ht="15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 spans="1:60" ht="15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 spans="1:60" ht="15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 spans="1:60" ht="15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 spans="1:60" ht="15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 spans="1:60" ht="15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 spans="1:60" ht="15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 spans="1:60" ht="15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 spans="1:60" ht="15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 spans="1:60" ht="15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 spans="1:60" ht="15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 spans="1:60" ht="15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 spans="1:60" ht="15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 spans="1:60" ht="15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 spans="1:60" ht="15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 spans="1:60" ht="15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 spans="1:60" ht="15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 spans="1:60" ht="15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 spans="1:60" ht="15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 spans="1:60" ht="15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 spans="1:60" ht="15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 spans="1:60" ht="15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 spans="1:60" ht="15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 spans="1:60" ht="15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 spans="1:60" ht="15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 spans="1:60" ht="15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 spans="1:60" ht="15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 spans="1:60" ht="15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 spans="1:60" ht="15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 spans="1:60" ht="15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 spans="1:60" ht="15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 spans="1:60" ht="15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 spans="1:60" ht="15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 spans="1:60" ht="15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 spans="1:60" ht="15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 spans="1:60" ht="15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 spans="1:60" ht="15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 spans="1:60" ht="15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 spans="1:60" ht="15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 spans="1:60" ht="15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 spans="1:60" ht="15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 spans="1:60" ht="15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 spans="1:60" ht="15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 spans="1:60" ht="15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 spans="1:60" ht="15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 spans="1:60" ht="15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 spans="1:60" ht="15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 spans="1:60" ht="15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 spans="1:60" ht="15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 spans="1:60" ht="15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 spans="1:60" ht="15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 spans="1:60" ht="15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 spans="1:60" ht="15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 spans="1:60" ht="15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 spans="1:60" ht="15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 spans="1:60" ht="15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 spans="1:60" ht="15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 spans="1:60" ht="15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 spans="1:60" ht="15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 spans="1:60" ht="15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 spans="1:60" ht="15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 spans="1:60" ht="15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 spans="1:60" ht="15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 spans="1:60" ht="15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 spans="1:60" ht="15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 spans="1:60" ht="15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 spans="1:60" ht="15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 spans="1:60" ht="15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 spans="1:60" ht="15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 spans="1:60" ht="15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 spans="1:60" ht="15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 spans="1:60" ht="15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 spans="1:60" ht="15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 spans="1:60" ht="15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 spans="1:60" ht="15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 spans="1:60" ht="15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 spans="1:60" ht="15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 spans="1:60" ht="15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 spans="1:60" ht="15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 spans="1:60" ht="15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 spans="1:60" ht="15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 spans="1:60" ht="15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 spans="1:60" ht="15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 spans="1:60" ht="15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 spans="1:60" ht="15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 spans="1:60" ht="15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 spans="1:60" ht="15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 spans="1:60" ht="15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 spans="1:60" ht="15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 spans="1:60" ht="15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 spans="1:60" ht="15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 spans="1:60" ht="15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 spans="1:60" ht="15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 spans="1:60" ht="15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 spans="1:60" ht="15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 spans="1:60" ht="15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 spans="1:60" ht="15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 spans="1:60" ht="15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 spans="1:60" ht="15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 spans="1:60" ht="15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 spans="1:60" ht="15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 spans="1:60" ht="15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 spans="1:60" ht="15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 spans="1:60" ht="15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 spans="1:60" ht="15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 spans="1:60" ht="15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 spans="1:60" ht="15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 spans="1:60" ht="15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 spans="1:60" ht="15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 spans="1:60" ht="15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 spans="1:60" ht="15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 spans="1:60" ht="15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 spans="1:60" ht="15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 spans="1:60" ht="15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 spans="1:60" ht="15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 spans="1:60" ht="15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 spans="1:60" ht="15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 spans="1:60" ht="15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 spans="1:60" ht="15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 spans="1:60" ht="15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 spans="1:60" ht="15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 spans="1:60" ht="15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 spans="1:60" ht="15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 spans="1:60" ht="15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 spans="1:60" ht="15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 spans="1:60" ht="15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 spans="1:60" ht="15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 spans="1:60" ht="15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 spans="1:60" ht="15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 spans="1:60" ht="15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 spans="1:60" ht="15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 spans="1:60" ht="15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 spans="1:60" ht="15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 spans="1:60" ht="15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 spans="1:60" ht="15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 spans="1:60" ht="15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 spans="1:60" ht="15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 spans="1:60" ht="15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 spans="1:60" ht="15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 spans="1:60" ht="15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 spans="1:60" ht="15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 spans="1:60" ht="15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 spans="1:60" ht="15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 spans="1:60" ht="15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 spans="1:60" ht="15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 spans="1:60" ht="15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 spans="1:60" ht="15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 spans="1:60" ht="15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 spans="1:60" ht="15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 spans="1:60" ht="15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 spans="1:60" ht="15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 spans="1:60" ht="15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 spans="1:60" ht="15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 spans="1:60" ht="15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 spans="1:60" ht="15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 spans="1:60" ht="15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 spans="1:60" ht="15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 spans="1:60" ht="15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 spans="1:60" ht="15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 spans="1:60" ht="15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 spans="1:60" ht="15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 spans="1:60" ht="15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 spans="1:60" ht="15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 spans="1:60" ht="15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 spans="1:60" ht="15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 spans="1:60" ht="15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 spans="1:60" ht="15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 spans="1:60" ht="15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 spans="1:60" ht="15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 spans="1:60" ht="15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 spans="1:60" ht="15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 spans="1:60" ht="15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 spans="1:60" ht="15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 spans="1:60" ht="15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 spans="1:60" ht="15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 spans="1:60" ht="15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 spans="1:60" ht="15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 spans="1:60" ht="15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 spans="1:60" ht="15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 spans="1:60" ht="15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 spans="1:60" ht="15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 spans="1:60" ht="15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 spans="1:60" ht="15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 spans="1:60" ht="15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 spans="1:60" ht="15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 spans="1:60" ht="15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 spans="1:60" ht="15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 spans="1:60" ht="15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 spans="1:60" ht="15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 spans="1:60" ht="15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 spans="1:60" ht="15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 spans="1:60" ht="15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 spans="1:60" ht="15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 spans="1:60" ht="15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  <row r="1001" spans="1:60" ht="15.75" customHeight="1" x14ac:dyDescent="0.3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</row>
  </sheetData>
  <mergeCells count="12">
    <mergeCell ref="B2:B4"/>
    <mergeCell ref="B90:B93"/>
    <mergeCell ref="C93:I93"/>
    <mergeCell ref="C92:I92"/>
    <mergeCell ref="C90:H90"/>
    <mergeCell ref="C2:C4"/>
    <mergeCell ref="D2:D4"/>
    <mergeCell ref="E2:E4"/>
    <mergeCell ref="F2:F4"/>
    <mergeCell ref="G2:G4"/>
    <mergeCell ref="H2:H4"/>
    <mergeCell ref="C5:D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KURVA S GEDUNG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Baihaqi Aryaseta Suherman</dc:creator>
  <cp:lastModifiedBy>Andrei Ardheano Pratama</cp:lastModifiedBy>
  <dcterms:created xsi:type="dcterms:W3CDTF">2026-08-17T14:10:55Z</dcterms:created>
  <dcterms:modified xsi:type="dcterms:W3CDTF">2026-09-28T01:32:51Z</dcterms:modified>
</cp:coreProperties>
</file>