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B" sheetId="1" r:id="rId4"/>
    <sheet state="visible" name="RESOURCE" sheetId="2" r:id="rId5"/>
    <sheet state="visible" name="AHSP" sheetId="3" r:id="rId6"/>
  </sheets>
  <externalReferences>
    <externalReference r:id="rId7"/>
  </externalReferences>
  <definedNames/>
  <calcPr/>
  <extLst>
    <ext uri="GoogleSheetsCustomDataVersion2">
      <go:sheetsCustomData xmlns:go="http://customooxmlschemas.google.com/" r:id="rId8" roundtripDataChecksum="/LQZ/CjMlksRNW9hMohtqGe6ANsHL6ZOGb0PovdbmGk="/>
    </ext>
  </extLst>
</workbook>
</file>

<file path=xl/sharedStrings.xml><?xml version="1.0" encoding="utf-8"?>
<sst xmlns="http://schemas.openxmlformats.org/spreadsheetml/2006/main" count="825" uniqueCount="236">
  <si>
    <t>URAIAN PEKERJAAN</t>
  </si>
  <si>
    <t>VOLUME</t>
  </si>
  <si>
    <t>SATUAN</t>
  </si>
  <si>
    <t>DURASI (MINGGU)</t>
  </si>
  <si>
    <t>No</t>
  </si>
  <si>
    <t>HARGA SATUAN (Rp)</t>
  </si>
  <si>
    <t>JUMLAH HARGA (Rp)</t>
  </si>
  <si>
    <t>Upah - Material - Alat</t>
  </si>
  <si>
    <t>Satuan</t>
  </si>
  <si>
    <t>Harga Satuan</t>
  </si>
  <si>
    <t>ANALISIS HARGA SATUAN PEKERJAAN BIDANG SUMBER DAYA AIR</t>
  </si>
  <si>
    <t>PEMBANGUNAN EMBUNG KENCANA</t>
  </si>
  <si>
    <t>PEKERJAAN</t>
  </si>
  <si>
    <t xml:space="preserve">   Pekerjaan Persiapan</t>
  </si>
  <si>
    <t>: PROYEK PEMBANGUNAN EMBUNG</t>
  </si>
  <si>
    <t>A.</t>
  </si>
  <si>
    <t>KABUPATEN</t>
  </si>
  <si>
    <t>UPAH</t>
  </si>
  <si>
    <t>: GUNUNG KIDUL</t>
  </si>
  <si>
    <t>TAHUN ANGGARAN</t>
  </si>
  <si>
    <t>: 2026</t>
  </si>
  <si>
    <t xml:space="preserve">      K3</t>
  </si>
  <si>
    <t>LS</t>
  </si>
  <si>
    <t>Pekerja</t>
  </si>
  <si>
    <t>OH</t>
  </si>
  <si>
    <t>Tukang</t>
  </si>
  <si>
    <t xml:space="preserve">      Mobilisasi</t>
  </si>
  <si>
    <t>Galian Tanah Dengan Alat (m3)</t>
  </si>
  <si>
    <t xml:space="preserve">      Pagar Proyek</t>
  </si>
  <si>
    <t>m2</t>
  </si>
  <si>
    <t>Tukang Kayu</t>
  </si>
  <si>
    <t xml:space="preserve">      Direksi Keet</t>
  </si>
  <si>
    <t>Uraian</t>
  </si>
  <si>
    <t>Tukang Batu / Tembok</t>
  </si>
  <si>
    <t xml:space="preserve">      Pengadaan Tenaga Listrik</t>
  </si>
  <si>
    <t>Koefisien</t>
  </si>
  <si>
    <t>Tukang Besi</t>
  </si>
  <si>
    <t xml:space="preserve">      Pengadaan Sumber Daya Air</t>
  </si>
  <si>
    <t>Tukang Las</t>
  </si>
  <si>
    <t>Harga Satuan      (Rp)</t>
  </si>
  <si>
    <t>Kepala Tukang</t>
  </si>
  <si>
    <t xml:space="preserve">      Pekerjaan Bowplank</t>
  </si>
  <si>
    <t>Mandor</t>
  </si>
  <si>
    <t>Jumlah                  (Rp)</t>
  </si>
  <si>
    <t xml:space="preserve">      Galian Tanah dengan alat</t>
  </si>
  <si>
    <t>m3</t>
  </si>
  <si>
    <t>B.</t>
  </si>
  <si>
    <t>MATERIAL</t>
  </si>
  <si>
    <t xml:space="preserve">      Buangan Galian</t>
  </si>
  <si>
    <t xml:space="preserve">      Timbunan tanah dipadatkan dengan alat</t>
  </si>
  <si>
    <t>Kayu Kaso 5/7</t>
  </si>
  <si>
    <t xml:space="preserve">   Pekerjaan Dinding Penahan Tanah Area</t>
  </si>
  <si>
    <t xml:space="preserve">      Galian tanah</t>
  </si>
  <si>
    <t>Papan 3/20</t>
  </si>
  <si>
    <t>A</t>
  </si>
  <si>
    <t xml:space="preserve">Lembar </t>
  </si>
  <si>
    <t>Tenaga Kerja</t>
  </si>
  <si>
    <t>Paku</t>
  </si>
  <si>
    <t>Kg</t>
  </si>
  <si>
    <t xml:space="preserve">      Lantai kerja beton</t>
  </si>
  <si>
    <t>Fondasi Pas. Batu</t>
  </si>
  <si>
    <t>Floor Lantai (Beton Lanta Kerja)</t>
  </si>
  <si>
    <t>Seng Gelombang BJLS-30</t>
  </si>
  <si>
    <t>lembar</t>
  </si>
  <si>
    <t xml:space="preserve">      Pembesian</t>
  </si>
  <si>
    <t>Baja Tulangan Ulir</t>
  </si>
  <si>
    <t xml:space="preserve">      Bekisting</t>
  </si>
  <si>
    <t>Kawat Seng</t>
  </si>
  <si>
    <t>m</t>
  </si>
  <si>
    <t>Pas. Batu  uk. 20/50 t=40cm</t>
  </si>
  <si>
    <t xml:space="preserve">      Beton mutu Fc 25 Mpa</t>
  </si>
  <si>
    <t>Batu Belah Hitam</t>
  </si>
  <si>
    <t>Pasir</t>
  </si>
  <si>
    <t xml:space="preserve">      Pasangan batu belah 1 PC : 4 PS</t>
  </si>
  <si>
    <t>Semen</t>
  </si>
  <si>
    <t xml:space="preserve">      Siaran 1 PC : 2 PS</t>
  </si>
  <si>
    <t>Pasir Pasang</t>
  </si>
  <si>
    <t>Portland Cement</t>
  </si>
  <si>
    <t xml:space="preserve">      Timbunan Tanah</t>
  </si>
  <si>
    <t>Batu Pecah (Split)</t>
  </si>
  <si>
    <t>Air</t>
  </si>
  <si>
    <t>Liter</t>
  </si>
  <si>
    <t xml:space="preserve">   Pekerjaan Tubuh/Kolam Embung</t>
  </si>
  <si>
    <t>Jumlah Harga Tenaga Kerja</t>
  </si>
  <si>
    <t>Besi Wiremesh M6</t>
  </si>
  <si>
    <t>Kawat Ikat</t>
  </si>
  <si>
    <t>Geomembran HDPE 1 mm</t>
  </si>
  <si>
    <t>Multiplex 6 mm</t>
  </si>
  <si>
    <t>Lembar</t>
  </si>
  <si>
    <t>Paku 5 cm dan 7 cm</t>
  </si>
  <si>
    <t>B</t>
  </si>
  <si>
    <t>Bahan</t>
  </si>
  <si>
    <t>Minyak Bekisting</t>
  </si>
  <si>
    <t>Geotextile Non-Woven</t>
  </si>
  <si>
    <t>Beton Fc' 30 Mpa</t>
  </si>
  <si>
    <t>Jumlah Harga Bahan</t>
  </si>
  <si>
    <t>Bata Ringan</t>
  </si>
  <si>
    <t>Buah</t>
  </si>
  <si>
    <t>U-Ditch 50 x50 cm</t>
  </si>
  <si>
    <t>C</t>
  </si>
  <si>
    <t>Peralatan</t>
  </si>
  <si>
    <t>Lantai Kerja Fc' 10 Mpa</t>
  </si>
  <si>
    <t xml:space="preserve">      Pengadaan &amp; pemasangan geomembran</t>
  </si>
  <si>
    <t>C.</t>
  </si>
  <si>
    <t>ALAT</t>
  </si>
  <si>
    <t>Excavator</t>
  </si>
  <si>
    <t>Hari</t>
  </si>
  <si>
    <t>Dump Truck</t>
  </si>
  <si>
    <t>Jam</t>
  </si>
  <si>
    <t>Waterpass</t>
  </si>
  <si>
    <t xml:space="preserve">   Pekerjaan Spillway</t>
  </si>
  <si>
    <t>Jumlah Harga Peralatan</t>
  </si>
  <si>
    <t xml:space="preserve">      Pekerjaan Struktur Spillway</t>
  </si>
  <si>
    <t>Bulldozer</t>
  </si>
  <si>
    <t>Concrete Mixer</t>
  </si>
  <si>
    <t>D</t>
  </si>
  <si>
    <t>Jumlah Harga tenaga, Bahan dan Peralatan (A+B+C)</t>
  </si>
  <si>
    <t>Batching Plant Mini</t>
  </si>
  <si>
    <t>Concrete Vibrator</t>
  </si>
  <si>
    <t>E</t>
  </si>
  <si>
    <t xml:space="preserve">Overhead + Profit </t>
  </si>
  <si>
    <t xml:space="preserve">         Galian tanah dengan alat</t>
  </si>
  <si>
    <t>Water Tank Truck</t>
  </si>
  <si>
    <t>Tire Roller</t>
  </si>
  <si>
    <t>F</t>
  </si>
  <si>
    <t>Tandem Roller</t>
  </si>
  <si>
    <t xml:space="preserve">         Buangan Galian</t>
  </si>
  <si>
    <t>Vibro Roller</t>
  </si>
  <si>
    <t xml:space="preserve">         Pembesian</t>
  </si>
  <si>
    <t>D.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</si>
  <si>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</si>
  <si>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>LUMPSUM</t>
  </si>
  <si>
    <t xml:space="preserve">         Bekisting</t>
  </si>
  <si>
    <t xml:space="preserve">         Beton mutu Fc 25 Mpa</t>
  </si>
  <si>
    <t>K3</t>
  </si>
  <si>
    <t>dibulatkan</t>
  </si>
  <si>
    <t xml:space="preserve">        Timbunan Tanah</t>
  </si>
  <si>
    <t>Mobilisasi</t>
  </si>
  <si>
    <t xml:space="preserve">      Pekerjaan Saluran Spillway</t>
  </si>
  <si>
    <t>Direksi Keet</t>
  </si>
  <si>
    <t>Bowplank (m2)</t>
  </si>
  <si>
    <t>Pengadaan Tenaga Listrik</t>
  </si>
  <si>
    <t>Pengadaan Sumber Daya Air</t>
  </si>
  <si>
    <t>Pintu Sorong Baja Roda Gigi Stang Tunggal b 0.30 h 0.40</t>
  </si>
  <si>
    <t>Mushola</t>
  </si>
  <si>
    <t xml:space="preserve">         Lantai kerja beton</t>
  </si>
  <si>
    <t>Toilet</t>
  </si>
  <si>
    <r>
      <rPr>
        <rFont val="Times New Roman"/>
        <b/>
        <color theme="1"/>
        <sz val="12.0"/>
      </rPr>
      <t>Harga Satuan</t>
    </r>
    <r>
      <rPr>
        <rFont val="Times New Roman"/>
        <b val="0"/>
        <color theme="1"/>
        <sz val="12.0"/>
      </rPr>
      <t xml:space="preserve">      (Rp)</t>
    </r>
  </si>
  <si>
    <t>Gazebo wisata 4*4 m</t>
  </si>
  <si>
    <t xml:space="preserve">         Pasangan batu belah 1 PC : 4 PS</t>
  </si>
  <si>
    <t>Taman bermain dan penghijauan</t>
  </si>
  <si>
    <r>
      <rPr>
        <rFont val="Times New Roman"/>
        <b/>
        <color theme="1"/>
        <sz val="12.0"/>
      </rPr>
      <t>Jumlah</t>
    </r>
    <r>
      <rPr>
        <rFont val="Times New Roman"/>
        <b val="0"/>
        <color theme="1"/>
        <sz val="12.0"/>
      </rPr>
      <t xml:space="preserve">                  (Rp)</t>
    </r>
  </si>
  <si>
    <t>Bangku taman</t>
  </si>
  <si>
    <t xml:space="preserve">         Siaran 1 PC : 2 PS</t>
  </si>
  <si>
    <t>Jalur pedestrian dan jogging track</t>
  </si>
  <si>
    <t xml:space="preserve">         Plesteran 1 PC : 3 PS</t>
  </si>
  <si>
    <t>Lampu taman tenaga surya</t>
  </si>
  <si>
    <t xml:space="preserve">         Timbunan tanah</t>
  </si>
  <si>
    <t>Pagar pengaman embung</t>
  </si>
  <si>
    <t>Papan nama embung</t>
  </si>
  <si>
    <t xml:space="preserve">   Pekerjaan Inlet</t>
  </si>
  <si>
    <t xml:space="preserve">      Galian tanah dengan alat</t>
  </si>
  <si>
    <t>Demobilisasi</t>
  </si>
  <si>
    <t xml:space="preserve">      Plesteran 1 PC : 3 PS</t>
  </si>
  <si>
    <t>Tukang kayu</t>
  </si>
  <si>
    <t xml:space="preserve">      Pintu Sorong Baja Roda Gigi Stang Tunggal b 0.30 h 0.40</t>
  </si>
  <si>
    <t>Ls</t>
  </si>
  <si>
    <t xml:space="preserve">      Timbunan tanah</t>
  </si>
  <si>
    <t xml:space="preserve">   Pekerjaan Outlet</t>
  </si>
  <si>
    <r>
      <rPr>
        <rFont val="Times New Roman"/>
        <color theme="1"/>
        <sz val="12.0"/>
      </rPr>
      <t>m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</si>
  <si>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color theme="1"/>
        <sz val="12.0"/>
      </rPr>
      <t>m</t>
    </r>
    <r>
      <rPr>
        <rFont val="Times New Roman"/>
        <color theme="1"/>
        <sz val="12.0"/>
        <vertAlign val="superscript"/>
      </rPr>
      <t>3</t>
    </r>
  </si>
  <si>
    <t>Peralatan *</t>
  </si>
  <si>
    <t xml:space="preserve">   Pekerjaan Drainase</t>
  </si>
  <si>
    <t>x D</t>
  </si>
  <si>
    <t xml:space="preserve">      U-Ditch 5*5 m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</si>
  <si>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1 </t>
    </r>
    <r>
      <rPr>
        <rFont val="Times New Roman"/>
        <b/>
        <color theme="1"/>
        <sz val="12.0"/>
      </rPr>
      <t>(D+E)</t>
    </r>
  </si>
  <si>
    <t xml:space="preserve">   Pekerjaan Finishing dan Penunjang Wisata</t>
  </si>
  <si>
    <t xml:space="preserve">      Mushola</t>
  </si>
  <si>
    <t xml:space="preserve">      Toilet</t>
  </si>
  <si>
    <t xml:space="preserve">      Gazebo wisata 4*4 m</t>
  </si>
  <si>
    <t>Pagar Proyek (m2)</t>
  </si>
  <si>
    <t xml:space="preserve">      Taman bermain dan penghijauan</t>
  </si>
  <si>
    <t xml:space="preserve">      Bangku taman</t>
  </si>
  <si>
    <t xml:space="preserve">      Jalur pedestrian dan jogging track</t>
  </si>
  <si>
    <t xml:space="preserve">      Lampu taman tenaga surya</t>
  </si>
  <si>
    <t xml:space="preserve">      Pagar pengaman embung</t>
  </si>
  <si>
    <t xml:space="preserve">      Papan nama embung</t>
  </si>
  <si>
    <t xml:space="preserve">      Demobilisasi</t>
  </si>
  <si>
    <t>TOTAL BIAYA</t>
  </si>
  <si>
    <t>PPN (11%)</t>
  </si>
  <si>
    <t>Tukang besi</t>
  </si>
  <si>
    <t>DIBULATKAN</t>
  </si>
  <si>
    <t>Lbr</t>
  </si>
  <si>
    <r>
      <rPr>
        <rFont val="Times New Roman"/>
        <color theme="1"/>
        <sz val="12.0"/>
      </rPr>
      <t>m</t>
    </r>
    <r>
      <rPr>
        <rFont val="Times New Roman"/>
        <color theme="1"/>
        <sz val="12.0"/>
        <vertAlign val="superscript"/>
      </rPr>
      <t>3</t>
    </r>
  </si>
  <si>
    <t>Jumlah Harga Tenaga Kerja, Bahan dan Peralatan (A+B+C)</t>
  </si>
  <si>
    <t xml:space="preserve">Overhead &amp; profit 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</si>
  <si>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2 </t>
    </r>
    <r>
      <rPr>
        <rFont val="Times New Roman"/>
        <b/>
        <color theme="1"/>
        <sz val="12.0"/>
      </rPr>
      <t>(D+E)</t>
    </r>
  </si>
  <si>
    <t>Buangan Galian (m3)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</si>
  <si>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</si>
  <si>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>Timbunan Tanah Dipadatkan Dengan Alat (m3)</t>
  </si>
  <si>
    <t>jam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</si>
  <si>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</si>
  <si>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>Pasangan batu belah 1Pc : 4 Ps (m3)</t>
  </si>
  <si>
    <r>
      <rPr>
        <rFont val="Times New Roman"/>
        <color theme="1"/>
        <sz val="12.0"/>
      </rPr>
      <t>m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</si>
  <si>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color theme="1"/>
        <sz val="12.0"/>
      </rPr>
      <t>m</t>
    </r>
    <r>
      <rPr>
        <rFont val="Times New Roman"/>
        <color theme="1"/>
        <sz val="12.0"/>
        <vertAlign val="superscript"/>
      </rPr>
      <t>3</t>
    </r>
  </si>
  <si>
    <t>semen</t>
  </si>
  <si>
    <t>kg</t>
  </si>
  <si>
    <t>hari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</si>
  <si>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</si>
  <si>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>Plesteran 1 PC : 3 PS (m2)</t>
  </si>
  <si>
    <t>Kepala tukang</t>
  </si>
  <si>
    <r>
      <rPr>
        <rFont val="Times New Roman"/>
        <color theme="1"/>
        <sz val="12.0"/>
      </rPr>
      <t>m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</si>
  <si>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</si>
  <si>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>Siaran 1 PC : 2 PS (m3)</t>
  </si>
  <si>
    <r>
      <rPr>
        <rFont val="Times New Roman"/>
        <color theme="1"/>
        <sz val="12.0"/>
      </rPr>
      <t>m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</si>
  <si>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</si>
  <si>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>Beton Mutu Fc' 25 Mpa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</si>
  <si>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</si>
  <si>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>Pembesian (Kg)</t>
  </si>
  <si>
    <r>
      <rPr>
        <rFont val="Times New Roman"/>
        <color theme="1"/>
        <sz val="12.0"/>
      </rPr>
      <t>m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</si>
  <si>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</si>
  <si>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>Pengadaan &amp; Pemasangan Geomembrane (m2)</t>
  </si>
  <si>
    <t>Harga Satuan (Rp)</t>
  </si>
  <si>
    <t>Jumlah (Rp)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</si>
  <si>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</si>
  <si>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>Bekisting (m2)</t>
  </si>
  <si>
    <t>liter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</si>
  <si>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</si>
  <si>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>U-Ditch 50x50cm (m3)</t>
  </si>
  <si>
    <t>batang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</si>
  <si>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</si>
  <si>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>Lantai Kerja Beton (m3)</t>
  </si>
  <si>
    <t>Pasir pasang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</si>
  <si>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</si>
  <si>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>Timbunan Tanah (m3)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</si>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</sst>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(&quot;$&quot;* #,##0_);_(&quot;$&quot;* \(#,##0\);_(&quot;$&quot;* &quot;-&quot;_);_(@_)"/>
    <numFmt numFmtId="165" formatCode="_-[$Rp-421]* #,##0.00_-;\-[$Rp-421]* #,##0.00_-;_-[$Rp-421]* &quot;-&quot;??_-;_-@"/>
    <numFmt numFmtId="166" formatCode="_-[$Rp-3809]* #,##0.00_-;\-[$Rp-3809]* #,##0.00_-;_-[$Rp-3809]* &quot;-&quot;??_-;_-@"/>
    <numFmt numFmtId="167" formatCode="_-&quot;Rp&quot;* #,##0.00_-;\-&quot;Rp&quot;* #,##0.00_-;_-&quot;Rp&quot;* &quot;-&quot;??_-;_-@"/>
    <numFmt numFmtId="168" formatCode="0.0000"/>
    <numFmt numFmtId="169" formatCode="0.00000"/>
    <numFmt numFmtId="170" formatCode="0.000"/>
    <numFmt numFmtId="171" formatCode="_(* #,##0.0000_);_(* \(#,##0.0000\);_(* &quot;-&quot;_);_(@_)"/>
  </numFmts>
  <fonts count="10">
    <font>
      <sz val="11.0"/>
      <color theme="1"/>
      <name val="Calibri"/>
      <scheme val="minor"/>
    </font>
    <font>
      <sz val="12.0"/>
      <color theme="1"/>
      <name val="Times New Roman"/>
    </font>
    <font>
      <sz val="11.0"/>
      <color theme="1"/>
      <name val="Calibri"/>
    </font>
    <font>
      <b/>
      <sz val="12.0"/>
      <color theme="1"/>
      <name val="Times New Roman"/>
    </font>
    <font>
      <b/>
      <sz val="11.0"/>
      <color theme="1"/>
      <name val="Times New Roman"/>
    </font>
    <font/>
    <font>
      <sz val="11.0"/>
      <color theme="1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sz val="11.0"/>
      <color rgb="FF0000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C8C8C8"/>
        <bgColor rgb="FFC8C8C8"/>
      </patternFill>
    </fill>
  </fills>
  <borders count="5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medium">
        <color rgb="FF000000"/>
      </right>
      <top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ill="1" applyFont="1">
      <alignment horizontal="center" vertical="center"/>
    </xf>
    <xf borderId="4" fillId="0" fontId="2" numFmtId="0" xfId="0" applyBorder="1" applyFont="1"/>
    <xf borderId="3" fillId="2" fontId="3" numFmtId="2" xfId="0" applyAlignment="1" applyBorder="1" applyFill="1" applyFont="1" applyNumberFormat="1">
      <alignment horizontal="center" vertical="center"/>
    </xf>
    <xf borderId="3" fillId="2" fontId="3" numFmtId="0" xfId="0" applyAlignment="1" applyBorder="1" applyFill="1" applyFont="1">
      <alignment horizontal="center" shrinkToFit="0" vertical="center" wrapText="1"/>
    </xf>
    <xf borderId="5" fillId="2" fontId="4" numFmtId="0" xfId="0" applyAlignment="1" applyBorder="1" applyFill="1" applyFont="1">
      <alignment horizontal="center" vertical="center"/>
    </xf>
    <xf borderId="6" fillId="2" fontId="4" numFmtId="0" xfId="0" applyAlignment="1" applyBorder="1" applyFill="1" applyFont="1">
      <alignment horizontal="center"/>
    </xf>
    <xf borderId="7" fillId="2" fontId="4" numFmtId="0" xfId="0" applyAlignment="1" applyBorder="1" applyFill="1" applyFont="1">
      <alignment horizontal="center" vertical="center"/>
    </xf>
    <xf borderId="6" fillId="2" fontId="4" numFmtId="164" xfId="0" applyAlignment="1" applyBorder="1" applyFill="1" applyFont="1" applyNumberFormat="1">
      <alignment horizontal="center" vertical="center"/>
    </xf>
    <xf borderId="8" fillId="0" fontId="5" numFmtId="0" xfId="0" applyBorder="1" applyFont="1"/>
    <xf borderId="6" fillId="0" fontId="6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9" fillId="2" fontId="7" numFmtId="0" xfId="0" applyAlignment="1" applyBorder="1" applyFill="1" applyFont="1">
      <alignment shrinkToFit="0" vertical="center" wrapText="1"/>
    </xf>
    <xf borderId="9" fillId="2" fontId="7" numFmtId="2" xfId="0" applyAlignment="1" applyBorder="1" applyFill="1" applyFont="1" applyNumberFormat="1">
      <alignment shrinkToFit="0" vertical="center" wrapText="1"/>
    </xf>
    <xf borderId="6" fillId="0" fontId="6" numFmtId="0" xfId="0" applyAlignment="1" applyBorder="1" applyFont="1">
      <alignment horizontal="center"/>
    </xf>
    <xf borderId="9" fillId="2" fontId="1" numFmtId="0" xfId="0" applyAlignment="1" applyBorder="1" applyFill="1" applyFont="1">
      <alignment horizontal="center"/>
    </xf>
    <xf borderId="0" fillId="0" fontId="3" numFmtId="0" xfId="0" applyFont="1"/>
    <xf borderId="9" fillId="2" fontId="1" numFmtId="0" xfId="0" applyBorder="1" applyFill="1" applyFont="1"/>
    <xf borderId="10" fillId="0" fontId="6" numFmtId="0" xfId="0" applyAlignment="1" applyBorder="1" applyFont="1">
      <alignment horizontal="center" vertical="center"/>
    </xf>
    <xf borderId="6" fillId="0" fontId="6" numFmtId="1" xfId="0" applyAlignment="1" applyBorder="1" applyFont="1" applyNumberFormat="1">
      <alignment horizontal="center" vertical="center"/>
    </xf>
    <xf borderId="9" fillId="3" fontId="7" numFmtId="0" xfId="0" applyAlignment="1" applyBorder="1" applyFill="1" applyFont="1">
      <alignment shrinkToFit="0" vertical="center" wrapText="1"/>
    </xf>
    <xf borderId="0" fillId="0" fontId="7" numFmtId="0" xfId="0" applyAlignment="1" applyFont="1">
      <alignment horizontal="left" shrinkToFit="0" wrapText="1"/>
    </xf>
    <xf borderId="11" fillId="2" fontId="4" numFmtId="0" xfId="0" applyAlignment="1" applyBorder="1" applyFill="1" applyFont="1">
      <alignment horizontal="center" vertical="center"/>
    </xf>
    <xf borderId="9" fillId="3" fontId="7" numFmtId="2" xfId="0" applyAlignment="1" applyBorder="1" applyFill="1" applyFont="1" applyNumberFormat="1">
      <alignment shrinkToFit="0" vertical="center" wrapText="1"/>
    </xf>
    <xf borderId="9" fillId="3" fontId="1" numFmtId="0" xfId="0" applyAlignment="1" applyBorder="1" applyFill="1" applyFont="1">
      <alignment horizontal="center"/>
    </xf>
    <xf borderId="9" fillId="3" fontId="1" numFmtId="0" xfId="0" applyBorder="1" applyFill="1" applyFont="1"/>
    <xf borderId="12" fillId="2" fontId="4" numFmtId="0" xfId="0" applyAlignment="1" applyBorder="1" applyFill="1" applyFont="1">
      <alignment horizontal="left"/>
    </xf>
    <xf borderId="9" fillId="3" fontId="1" numFmtId="165" xfId="0" applyBorder="1" applyFill="1" applyFont="1" applyNumberFormat="1"/>
    <xf borderId="10" fillId="0" fontId="5" numFmtId="0" xfId="0" applyBorder="1" applyFont="1"/>
    <xf borderId="13" fillId="0" fontId="5" numFmtId="0" xfId="0" applyBorder="1" applyFont="1"/>
    <xf borderId="0" fillId="0" fontId="7" numFmtId="0" xfId="0" applyAlignment="1" applyFont="1">
      <alignment horizontal="left" vertical="center"/>
    </xf>
    <xf borderId="9" fillId="0" fontId="8" numFmtId="0" xfId="0" applyAlignment="1" applyBorder="1" applyFont="1">
      <alignment shrinkToFit="0" vertical="center" wrapText="1"/>
    </xf>
    <xf borderId="9" fillId="0" fontId="1" numFmtId="2" xfId="0" applyAlignment="1" applyBorder="1" applyFont="1" applyNumberFormat="1">
      <alignment horizontal="center"/>
    </xf>
    <xf borderId="14" fillId="0" fontId="6" numFmtId="0" xfId="0" applyAlignment="1" applyBorder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9" fillId="0" fontId="1" numFmtId="0" xfId="0" applyAlignment="1" applyBorder="1" applyFont="1">
      <alignment horizontal="center" vertical="center"/>
    </xf>
    <xf borderId="0" fillId="0" fontId="1" numFmtId="164" xfId="0" applyFont="1" applyNumberFormat="1"/>
    <xf borderId="15" fillId="0" fontId="6" numFmtId="0" xfId="0" applyBorder="1" applyFont="1"/>
    <xf borderId="9" fillId="4" fontId="8" numFmtId="0" xfId="0" applyAlignment="1" applyBorder="1" applyFill="1" applyFont="1">
      <alignment horizontal="center" shrinkToFit="0" vertical="center" wrapText="1"/>
    </xf>
    <xf borderId="16" fillId="0" fontId="6" numFmtId="0" xfId="0" applyAlignment="1" applyBorder="1" applyFont="1">
      <alignment horizontal="center" vertical="center"/>
    </xf>
    <xf borderId="9" fillId="0" fontId="1" numFmtId="165" xfId="0" applyAlignment="1" applyBorder="1" applyFont="1" applyNumberFormat="1">
      <alignment horizontal="center" vertical="center"/>
    </xf>
    <xf borderId="15" fillId="0" fontId="6" numFmtId="166" xfId="0" applyAlignment="1" applyBorder="1" applyFont="1" applyNumberFormat="1">
      <alignment horizontal="center" vertical="center"/>
    </xf>
    <xf borderId="9" fillId="0" fontId="1" numFmtId="165" xfId="0" applyBorder="1" applyFont="1" applyNumberFormat="1"/>
    <xf borderId="17" fillId="0" fontId="6" numFmtId="0" xfId="0" applyBorder="1" applyFont="1"/>
    <xf borderId="18" fillId="0" fontId="6" numFmtId="0" xfId="0" applyAlignment="1" applyBorder="1" applyFont="1">
      <alignment horizontal="center" vertical="center"/>
    </xf>
    <xf borderId="12" fillId="5" fontId="3" numFmtId="0" xfId="0" applyAlignment="1" applyBorder="1" applyFill="1" applyFont="1">
      <alignment horizontal="center"/>
    </xf>
    <xf borderId="17" fillId="0" fontId="6" numFmtId="166" xfId="0" applyAlignment="1" applyBorder="1" applyFont="1" applyNumberFormat="1">
      <alignment horizontal="center" vertical="center"/>
    </xf>
    <xf borderId="19" fillId="2" fontId="3" numFmtId="0" xfId="0" applyAlignment="1" applyBorder="1" applyFill="1" applyFont="1">
      <alignment horizontal="center" vertical="center"/>
    </xf>
    <xf borderId="19" fillId="2" fontId="3" numFmtId="164" xfId="0" applyAlignment="1" applyBorder="1" applyFill="1" applyFont="1" applyNumberFormat="1">
      <alignment horizontal="center" shrinkToFit="0" vertical="center" wrapText="1"/>
    </xf>
    <xf borderId="20" fillId="0" fontId="6" numFmtId="0" xfId="0" applyBorder="1" applyFont="1"/>
    <xf borderId="21" fillId="0" fontId="6" numFmtId="0" xfId="0" applyAlignment="1" applyBorder="1" applyFont="1">
      <alignment horizontal="center" vertical="center"/>
    </xf>
    <xf borderId="9" fillId="0" fontId="1" numFmtId="2" xfId="0" applyAlignment="1" applyBorder="1" applyFont="1" applyNumberFormat="1">
      <alignment horizontal="center" vertical="center"/>
    </xf>
    <xf borderId="20" fillId="0" fontId="6" numFmtId="166" xfId="0" applyAlignment="1" applyBorder="1" applyFont="1" applyNumberFormat="1">
      <alignment horizontal="center" vertical="center"/>
    </xf>
    <xf borderId="22" fillId="2" fontId="4" numFmtId="0" xfId="0" applyAlignment="1" applyBorder="1" applyFill="1" applyFont="1">
      <alignment horizontal="center" vertical="center"/>
    </xf>
    <xf borderId="9" fillId="0" fontId="1" numFmtId="0" xfId="0" applyAlignment="1" applyBorder="1" applyFont="1">
      <alignment horizontal="center"/>
    </xf>
    <xf borderId="15" fillId="0" fontId="6" numFmtId="0" xfId="0" applyAlignment="1" applyBorder="1" applyFont="1">
      <alignment horizontal="center" vertical="center"/>
    </xf>
    <xf borderId="23" fillId="0" fontId="6" numFmtId="0" xfId="0" applyBorder="1" applyFont="1"/>
    <xf borderId="23" fillId="0" fontId="6" numFmtId="166" xfId="0" applyAlignment="1" applyBorder="1" applyFont="1" applyNumberFormat="1">
      <alignment horizontal="center" vertical="center"/>
    </xf>
    <xf borderId="17" fillId="0" fontId="6" numFmtId="0" xfId="0" applyAlignment="1" applyBorder="1" applyFont="1">
      <alignment horizontal="center" vertical="center"/>
    </xf>
    <xf borderId="24" fillId="0" fontId="6" numFmtId="0" xfId="0" applyBorder="1" applyFont="1"/>
    <xf borderId="9" fillId="0" fontId="3" numFmtId="0" xfId="0" applyAlignment="1" applyBorder="1" applyFont="1">
      <alignment horizontal="center"/>
    </xf>
    <xf borderId="9" fillId="0" fontId="1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24" fillId="0" fontId="6" numFmtId="166" xfId="0" applyAlignment="1" applyBorder="1" applyFont="1" applyNumberFormat="1">
      <alignment horizontal="center" vertical="center"/>
    </xf>
    <xf borderId="9" fillId="0" fontId="1" numFmtId="167" xfId="0" applyAlignment="1" applyBorder="1" applyFont="1" applyNumberFormat="1">
      <alignment horizontal="left"/>
    </xf>
    <xf borderId="9" fillId="0" fontId="1" numFmtId="0" xfId="0" applyBorder="1" applyFont="1"/>
    <xf borderId="9" fillId="0" fontId="1" numFmtId="168" xfId="0" applyAlignment="1" applyBorder="1" applyFont="1" applyNumberFormat="1">
      <alignment horizontal="center" vertical="center"/>
    </xf>
    <xf borderId="0" fillId="0" fontId="2" numFmtId="4" xfId="0" applyFont="1" applyNumberFormat="1"/>
    <xf borderId="9" fillId="0" fontId="1" numFmtId="169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horizontal="right"/>
    </xf>
    <xf borderId="25" fillId="0" fontId="3" numFmtId="0" xfId="0" applyAlignment="1" applyBorder="1" applyFont="1">
      <alignment horizontal="right"/>
    </xf>
    <xf borderId="18" fillId="0" fontId="5" numFmtId="0" xfId="0" applyBorder="1" applyFont="1"/>
    <xf borderId="26" fillId="0" fontId="5" numFmtId="0" xfId="0" applyBorder="1" applyFont="1"/>
    <xf borderId="9" fillId="0" fontId="1" numFmtId="0" xfId="0" applyAlignment="1" applyBorder="1" applyFont="1">
      <alignment horizontal="center" shrinkToFit="0" vertical="top" wrapText="1"/>
    </xf>
    <xf borderId="9" fillId="0" fontId="1" numFmtId="170" xfId="0" applyAlignment="1" applyBorder="1" applyFont="1" applyNumberFormat="1">
      <alignment horizontal="center" vertical="center"/>
    </xf>
    <xf borderId="9" fillId="0" fontId="1" numFmtId="164" xfId="0" applyBorder="1" applyFont="1" applyNumberFormat="1"/>
    <xf borderId="27" fillId="0" fontId="6" numFmtId="0" xfId="0" applyBorder="1" applyFont="1"/>
    <xf borderId="28" fillId="0" fontId="6" numFmtId="0" xfId="0" applyAlignment="1" applyBorder="1" applyFont="1">
      <alignment horizontal="center" vertical="center"/>
    </xf>
    <xf borderId="27" fillId="0" fontId="6" numFmtId="166" xfId="0" applyAlignment="1" applyBorder="1" applyFont="1" applyNumberFormat="1">
      <alignment horizontal="center" vertical="center"/>
    </xf>
    <xf borderId="20" fillId="0" fontId="6" numFmtId="0" xfId="0" applyAlignment="1" applyBorder="1" applyFont="1">
      <alignment horizontal="center" vertical="center"/>
    </xf>
    <xf borderId="29" fillId="2" fontId="4" numFmtId="0" xfId="0" applyAlignment="1" applyBorder="1" applyFill="1" applyFont="1">
      <alignment horizontal="center" vertical="center"/>
    </xf>
    <xf borderId="17" fillId="0" fontId="1" numFmtId="0" xfId="0" applyBorder="1" applyFont="1"/>
    <xf borderId="9" fillId="6" fontId="7" numFmtId="0" xfId="0" applyAlignment="1" applyBorder="1" applyFill="1" applyFont="1">
      <alignment shrinkToFit="0" vertical="center" wrapText="1"/>
    </xf>
    <xf borderId="9" fillId="6" fontId="1" numFmtId="2" xfId="0" applyAlignment="1" applyBorder="1" applyFill="1" applyFont="1" applyNumberFormat="1">
      <alignment horizontal="center"/>
    </xf>
    <xf borderId="9" fillId="6" fontId="1" numFmtId="0" xfId="0" applyAlignment="1" applyBorder="1" applyFill="1" applyFont="1">
      <alignment horizontal="center" vertical="center"/>
    </xf>
    <xf borderId="9" fillId="0" fontId="1" numFmtId="164" xfId="0" applyAlignment="1" applyBorder="1" applyFont="1" applyNumberFormat="1">
      <alignment horizontal="right"/>
    </xf>
    <xf borderId="9" fillId="6" fontId="7" numFmtId="0" xfId="0" applyAlignment="1" applyBorder="1" applyFill="1" applyFont="1">
      <alignment horizontal="center" shrinkToFit="0" vertical="center" wrapText="1"/>
    </xf>
    <xf borderId="0" fillId="0" fontId="2" numFmtId="166" xfId="0" applyFont="1" applyNumberFormat="1"/>
    <xf borderId="9" fillId="6" fontId="1" numFmtId="165" xfId="0" applyAlignment="1" applyBorder="1" applyFill="1" applyFont="1" applyNumberFormat="1">
      <alignment horizontal="center" vertical="center"/>
    </xf>
    <xf borderId="9" fillId="0" fontId="1" numFmtId="0" xfId="0" applyAlignment="1" applyBorder="1" applyFont="1">
      <alignment horizontal="left"/>
    </xf>
    <xf borderId="17" fillId="0" fontId="9" numFmtId="0" xfId="0" applyBorder="1" applyFont="1"/>
    <xf borderId="9" fillId="6" fontId="1" numFmtId="165" xfId="0" applyBorder="1" applyFill="1" applyFont="1" applyNumberFormat="1"/>
    <xf borderId="9" fillId="0" fontId="1" numFmtId="10" xfId="0" applyAlignment="1" applyBorder="1" applyFont="1" applyNumberFormat="1">
      <alignment horizontal="center" vertical="center"/>
    </xf>
    <xf borderId="9" fillId="0" fontId="1" numFmtId="164" xfId="0" applyAlignment="1" applyBorder="1" applyFont="1" applyNumberFormat="1">
      <alignment horizontal="left"/>
    </xf>
    <xf borderId="8" fillId="0" fontId="1" numFmtId="0" xfId="0" applyAlignment="1" applyBorder="1" applyFont="1">
      <alignment horizontal="center" shrinkToFit="0" vertical="top" wrapText="1"/>
    </xf>
    <xf borderId="8" fillId="0" fontId="1" numFmtId="165" xfId="0" applyBorder="1" applyFont="1" applyNumberFormat="1"/>
    <xf borderId="30" fillId="0" fontId="6" numFmtId="0" xfId="0" applyAlignment="1" applyBorder="1" applyFont="1">
      <alignment horizontal="center" vertical="center"/>
    </xf>
    <xf borderId="6" fillId="2" fontId="4" numFmtId="0" xfId="0" applyAlignment="1" applyBorder="1" applyFill="1" applyFont="1">
      <alignment horizontal="center" vertical="center"/>
    </xf>
    <xf borderId="9" fillId="0" fontId="3" numFmtId="0" xfId="0" applyAlignment="1" applyBorder="1" applyFont="1">
      <alignment horizontal="left"/>
    </xf>
    <xf borderId="31" fillId="2" fontId="4" numFmtId="0" xfId="0" applyAlignment="1" applyBorder="1" applyFill="1" applyFont="1">
      <alignment horizontal="left"/>
    </xf>
    <xf borderId="9" fillId="0" fontId="3" numFmtId="0" xfId="0" applyAlignment="1" applyBorder="1" applyFont="1">
      <alignment horizontal="center" vertical="center"/>
    </xf>
    <xf borderId="32" fillId="0" fontId="5" numFmtId="0" xfId="0" applyBorder="1" applyFont="1"/>
    <xf borderId="33" fillId="0" fontId="5" numFmtId="0" xfId="0" applyBorder="1" applyFont="1"/>
    <xf borderId="9" fillId="0" fontId="3" numFmtId="164" xfId="0" applyAlignment="1" applyBorder="1" applyFont="1" applyNumberFormat="1">
      <alignment horizontal="right"/>
    </xf>
    <xf borderId="9" fillId="0" fontId="3" numFmtId="167" xfId="0" applyAlignment="1" applyBorder="1" applyFont="1" applyNumberFormat="1">
      <alignment horizontal="left"/>
    </xf>
    <xf borderId="34" fillId="0" fontId="6" numFmtId="0" xfId="0" applyAlignment="1" applyBorder="1" applyFont="1">
      <alignment horizontal="center" vertical="center"/>
    </xf>
    <xf borderId="35" fillId="0" fontId="6" numFmtId="166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36" fillId="0" fontId="6" numFmtId="166" xfId="0" applyAlignment="1" applyBorder="1" applyFont="1" applyNumberFormat="1">
      <alignment horizontal="center" vertical="center"/>
    </xf>
    <xf borderId="37" fillId="0" fontId="5" numFmtId="0" xfId="0" applyBorder="1" applyFont="1"/>
    <xf borderId="38" fillId="0" fontId="6" numFmtId="0" xfId="0" applyAlignment="1" applyBorder="1" applyFont="1">
      <alignment horizontal="center" vertical="center"/>
    </xf>
    <xf borderId="39" fillId="0" fontId="6" numFmtId="166" xfId="0" applyAlignment="1" applyBorder="1" applyFont="1" applyNumberFormat="1">
      <alignment horizontal="center" vertical="center"/>
    </xf>
    <xf borderId="9" fillId="0" fontId="1" numFmtId="171" xfId="0" applyAlignment="1" applyBorder="1" applyFont="1" applyNumberFormat="1">
      <alignment horizontal="center" vertical="center"/>
    </xf>
    <xf borderId="9" fillId="0" fontId="1" numFmtId="167" xfId="0" applyBorder="1" applyFont="1" applyNumberFormat="1"/>
    <xf borderId="25" fillId="0" fontId="1" numFmtId="0" xfId="0" applyAlignment="1" applyBorder="1" applyFont="1">
      <alignment horizontal="left"/>
    </xf>
    <xf borderId="9" fillId="0" fontId="1" numFmtId="9" xfId="0" applyAlignment="1" applyBorder="1" applyFont="1" applyNumberFormat="1">
      <alignment horizontal="center" vertical="center"/>
    </xf>
    <xf borderId="25" fillId="0" fontId="3" numFmtId="0" xfId="0" applyAlignment="1" applyBorder="1" applyFont="1">
      <alignment horizontal="left"/>
    </xf>
    <xf borderId="9" fillId="0" fontId="3" numFmtId="167" xfId="0" applyBorder="1" applyFont="1" applyNumberFormat="1"/>
    <xf borderId="9" fillId="0" fontId="8" numFmtId="0" xfId="0" applyAlignment="1" applyBorder="1" applyFont="1">
      <alignment horizontal="center" shrinkToFit="0" vertical="center" wrapText="1"/>
    </xf>
    <xf borderId="40" fillId="2" fontId="3" numFmtId="0" xfId="0" applyAlignment="1" applyBorder="1" applyFill="1" applyFont="1">
      <alignment horizontal="center" vertical="center"/>
    </xf>
    <xf borderId="41" fillId="2" fontId="3" numFmtId="164" xfId="0" applyAlignment="1" applyBorder="1" applyFill="1" applyFont="1" applyNumberFormat="1">
      <alignment horizontal="center" shrinkToFit="0" vertical="center" wrapText="1"/>
    </xf>
    <xf borderId="42" fillId="0" fontId="5" numFmtId="0" xfId="0" applyBorder="1" applyFont="1"/>
    <xf borderId="43" fillId="0" fontId="5" numFmtId="0" xfId="0" applyBorder="1" applyFont="1"/>
    <xf borderId="44" fillId="0" fontId="1" numFmtId="0" xfId="0" applyAlignment="1" applyBorder="1" applyFont="1">
      <alignment horizontal="center"/>
    </xf>
    <xf borderId="9" fillId="2" fontId="3" numFmtId="167" xfId="0" applyAlignment="1" applyBorder="1" applyFill="1" applyFont="1" applyNumberFormat="1">
      <alignment vertical="center"/>
    </xf>
    <xf borderId="36" fillId="0" fontId="1" numFmtId="167" xfId="0" applyAlignment="1" applyBorder="1" applyFont="1" applyNumberFormat="1">
      <alignment horizontal="left"/>
    </xf>
    <xf borderId="9" fillId="2" fontId="1" numFmtId="2" xfId="0" applyBorder="1" applyFill="1" applyFont="1" applyNumberFormat="1"/>
    <xf borderId="9" fillId="2" fontId="3" numFmtId="166" xfId="0" applyBorder="1" applyFill="1" applyFont="1" applyNumberFormat="1"/>
    <xf borderId="9" fillId="2" fontId="3" numFmtId="167" xfId="0" applyAlignment="1" applyBorder="1" applyFill="1" applyFont="1" applyNumberFormat="1">
      <alignment horizontal="center" vertical="center"/>
    </xf>
    <xf borderId="9" fillId="2" fontId="3" numFmtId="166" xfId="0" applyAlignment="1" applyBorder="1" applyFill="1" applyFont="1" applyNumberFormat="1">
      <alignment horizontal="center" vertical="center"/>
    </xf>
    <xf borderId="14" fillId="0" fontId="3" numFmtId="0" xfId="0" applyAlignment="1" applyBorder="1" applyFont="1">
      <alignment horizontal="right"/>
    </xf>
    <xf borderId="44" fillId="0" fontId="1" numFmtId="0" xfId="0" applyAlignment="1" applyBorder="1" applyFont="1">
      <alignment horizontal="center" vertical="top"/>
    </xf>
    <xf borderId="36" fillId="0" fontId="1" numFmtId="167" xfId="0" applyAlignment="1" applyBorder="1" applyFont="1" applyNumberFormat="1">
      <alignment horizontal="left" vertical="top"/>
    </xf>
    <xf borderId="9" fillId="0" fontId="1" numFmtId="0" xfId="0" applyAlignment="1" applyBorder="1" applyFont="1">
      <alignment shrinkToFit="0" vertical="center" wrapText="1"/>
    </xf>
    <xf borderId="44" fillId="0" fontId="3" numFmtId="0" xfId="0" applyAlignment="1" applyBorder="1" applyFont="1">
      <alignment horizontal="center"/>
    </xf>
    <xf borderId="36" fillId="0" fontId="3" numFmtId="167" xfId="0" applyAlignment="1" applyBorder="1" applyFont="1" applyNumberFormat="1">
      <alignment horizontal="left"/>
    </xf>
    <xf borderId="45" fillId="0" fontId="3" numFmtId="0" xfId="0" applyAlignment="1" applyBorder="1" applyFont="1">
      <alignment horizontal="center"/>
    </xf>
    <xf borderId="46" fillId="0" fontId="3" numFmtId="0" xfId="0" applyAlignment="1" applyBorder="1" applyFont="1">
      <alignment horizontal="left"/>
    </xf>
    <xf borderId="47" fillId="0" fontId="5" numFmtId="0" xfId="0" applyBorder="1" applyFont="1"/>
    <xf borderId="48" fillId="0" fontId="3" numFmtId="0" xfId="0" applyAlignment="1" applyBorder="1" applyFont="1">
      <alignment horizontal="center" vertical="center"/>
    </xf>
    <xf borderId="48" fillId="0" fontId="3" numFmtId="164" xfId="0" applyAlignment="1" applyBorder="1" applyFont="1" applyNumberFormat="1">
      <alignment horizontal="right"/>
    </xf>
    <xf borderId="39" fillId="0" fontId="3" numFmtId="167" xfId="0" applyAlignment="1" applyBorder="1" applyFont="1" applyNumberFormat="1">
      <alignment horizontal="lef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right"/>
    </xf>
    <xf borderId="0" fillId="0" fontId="3" numFmtId="167" xfId="0" applyAlignment="1" applyFont="1" applyNumberFormat="1">
      <alignment horizontal="left"/>
    </xf>
    <xf borderId="9" fillId="0" fontId="1" numFmtId="1" xfId="0" applyAlignment="1" applyBorder="1" applyFont="1" applyNumberFormat="1">
      <alignment horizontal="center"/>
    </xf>
    <xf borderId="36" fillId="0" fontId="1" numFmtId="1" xfId="0" applyAlignment="1" applyBorder="1" applyFont="1" applyNumberFormat="1">
      <alignment horizontal="center"/>
    </xf>
    <xf borderId="36" fillId="0" fontId="1" numFmtId="164" xfId="0" applyBorder="1" applyFont="1" applyNumberFormat="1"/>
    <xf borderId="44" fillId="0" fontId="1" numFmtId="0" xfId="0" applyAlignment="1" applyBorder="1" applyFont="1">
      <alignment horizontal="right"/>
    </xf>
    <xf borderId="9" fillId="0" fontId="1" numFmtId="164" xfId="0" applyAlignment="1" applyBorder="1" applyFont="1" applyNumberFormat="1">
      <alignment horizontal="center"/>
    </xf>
    <xf borderId="0" fillId="0" fontId="1" numFmtId="167" xfId="0" applyFont="1" applyNumberFormat="1"/>
    <xf borderId="49" fillId="2" fontId="3" numFmtId="0" xfId="0" applyAlignment="1" applyBorder="1" applyFill="1" applyFont="1">
      <alignment horizontal="center" vertical="center"/>
    </xf>
    <xf borderId="50" fillId="2" fontId="3" numFmtId="0" xfId="0" applyAlignment="1" applyBorder="1" applyFill="1" applyFont="1">
      <alignment horizontal="center" vertical="center"/>
    </xf>
    <xf borderId="50" fillId="2" fontId="3" numFmtId="164" xfId="0" applyAlignment="1" applyBorder="1" applyFill="1" applyFont="1" applyNumberFormat="1">
      <alignment horizontal="center" shrinkToFit="0" vertical="center" wrapText="1"/>
    </xf>
    <xf borderId="51" fillId="2" fontId="3" numFmtId="164" xfId="0" applyAlignment="1" applyBorder="1" applyFill="1" applyFont="1" applyNumberFormat="1">
      <alignment horizontal="center" shrinkToFit="0" vertical="center" wrapText="1"/>
    </xf>
    <xf borderId="36" fillId="0" fontId="1" numFmtId="167" xfId="0" applyBorder="1" applyFont="1" applyNumberFormat="1"/>
    <xf borderId="36" fillId="0" fontId="3" numFmtId="167" xfId="0" applyBorder="1" applyFont="1" applyNumberFormat="1"/>
    <xf borderId="36" fillId="0" fontId="1" numFmtId="167" xfId="0" applyAlignment="1" applyBorder="1" applyFont="1" applyNumberFormat="1">
      <alignment horizontal="center" vertical="center"/>
    </xf>
    <xf borderId="36" fillId="0" fontId="3" numFmtId="167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EXCEL%20SDA%20EMBUNG%20MANKON%20FIX%20(2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AB"/>
      <sheetName val="RESOURCE"/>
      <sheetName val="BOQ"/>
      <sheetName val="AHSP"/>
      <sheetName val="INPUT WORKS MS PRO"/>
      <sheetName val="INPUT RESOURCE MS PRO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61.0"/>
    <col customWidth="1" min="3" max="3" width="13.71"/>
    <col customWidth="1" min="4" max="4" width="12.86"/>
    <col customWidth="1" min="5" max="5" width="13.29"/>
    <col customWidth="1" min="6" max="6" width="20.29"/>
    <col customWidth="1" min="7" max="7" width="24.29"/>
  </cols>
  <sheetData>
    <row r="1">
      <c r="A1" s="1"/>
      <c r="B1" s="1"/>
      <c r="C1" s="1"/>
      <c r="D1" s="1"/>
      <c r="E1" s="1"/>
      <c r="F1" s="1"/>
      <c r="G1" s="1"/>
    </row>
    <row r="2">
      <c r="A2" s="1"/>
      <c r="B2" s="4" t="s">
        <v>0</v>
      </c>
      <c r="C2" s="6" t="s">
        <v>1</v>
      </c>
      <c r="D2" s="4" t="s">
        <v>2</v>
      </c>
      <c r="E2" s="7" t="s">
        <v>3</v>
      </c>
      <c r="F2" s="7" t="s">
        <v>5</v>
      </c>
      <c r="G2" s="7" t="s">
        <v>6</v>
      </c>
    </row>
    <row r="3">
      <c r="A3" s="1"/>
      <c r="B3" s="12"/>
      <c r="C3" s="12"/>
      <c r="D3" s="12"/>
      <c r="E3" s="12"/>
      <c r="F3" s="12"/>
      <c r="G3" s="12"/>
    </row>
    <row r="4">
      <c r="A4" s="1"/>
      <c r="B4" s="15" t="s">
        <v>11</v>
      </c>
      <c r="C4" s="16"/>
      <c r="D4" s="18"/>
      <c r="E4" s="20"/>
      <c r="F4" s="20"/>
      <c r="G4" s="20"/>
    </row>
    <row r="5">
      <c r="A5" s="1"/>
      <c r="B5" s="23" t="s">
        <v>13</v>
      </c>
      <c r="C5" s="26"/>
      <c r="D5" s="27"/>
      <c r="E5" s="28"/>
      <c r="F5" s="28"/>
      <c r="G5" s="30"/>
    </row>
    <row r="6">
      <c r="A6" s="1"/>
      <c r="B6" s="34" t="s">
        <v>21</v>
      </c>
      <c r="C6" s="35">
        <v>1.0</v>
      </c>
      <c r="D6" s="38" t="s">
        <v>22</v>
      </c>
      <c r="E6" s="41">
        <v>105.0</v>
      </c>
      <c r="F6" s="43">
        <v>3000000.0</v>
      </c>
      <c r="G6" s="45"/>
    </row>
    <row r="7">
      <c r="A7" s="1"/>
      <c r="B7" s="34" t="s">
        <v>26</v>
      </c>
      <c r="C7" s="35">
        <v>1.0</v>
      </c>
      <c r="D7" s="38" t="s">
        <v>22</v>
      </c>
      <c r="E7" s="41">
        <v>3.0</v>
      </c>
      <c r="F7" s="43">
        <v>1500000.0</v>
      </c>
      <c r="G7" s="45"/>
    </row>
    <row r="8">
      <c r="A8" s="1"/>
      <c r="B8" s="34" t="s">
        <v>28</v>
      </c>
      <c r="C8" s="35">
        <v>473.40000000000003</v>
      </c>
      <c r="D8" s="38" t="s">
        <v>29</v>
      </c>
      <c r="E8" s="41">
        <v>9.0</v>
      </c>
      <c r="F8" s="43"/>
      <c r="G8" s="45"/>
    </row>
    <row r="9">
      <c r="A9" s="1"/>
      <c r="B9" s="34" t="s">
        <v>31</v>
      </c>
      <c r="C9" s="35">
        <v>1.0</v>
      </c>
      <c r="D9" s="38" t="s">
        <v>22</v>
      </c>
      <c r="E9" s="41">
        <v>5.0</v>
      </c>
      <c r="F9" s="43">
        <v>2515232.0</v>
      </c>
      <c r="G9" s="45"/>
    </row>
    <row r="10">
      <c r="A10" s="1"/>
      <c r="B10" s="34" t="s">
        <v>34</v>
      </c>
      <c r="C10" s="35">
        <v>1.0</v>
      </c>
      <c r="D10" s="38" t="s">
        <v>22</v>
      </c>
      <c r="E10" s="41">
        <v>3.0</v>
      </c>
      <c r="F10" s="43">
        <v>7500000.0</v>
      </c>
      <c r="G10" s="45"/>
    </row>
    <row r="11">
      <c r="A11" s="1"/>
      <c r="B11" s="34" t="s">
        <v>37</v>
      </c>
      <c r="C11" s="35">
        <v>1.0</v>
      </c>
      <c r="D11" s="38" t="s">
        <v>22</v>
      </c>
      <c r="E11" s="41">
        <v>3.0</v>
      </c>
      <c r="F11" s="43">
        <v>3000000.0</v>
      </c>
      <c r="G11" s="45"/>
    </row>
    <row r="12">
      <c r="A12" s="1"/>
      <c r="B12" s="34" t="s">
        <v>41</v>
      </c>
      <c r="C12" s="35">
        <v>114.0</v>
      </c>
      <c r="D12" s="38" t="s">
        <v>29</v>
      </c>
      <c r="E12" s="41">
        <v>4.0</v>
      </c>
      <c r="F12" s="43"/>
      <c r="G12" s="45"/>
    </row>
    <row r="13">
      <c r="A13" s="1"/>
      <c r="B13" s="34" t="s">
        <v>44</v>
      </c>
      <c r="C13" s="54">
        <v>18328.125</v>
      </c>
      <c r="D13" s="38" t="s">
        <v>45</v>
      </c>
      <c r="E13" s="41">
        <v>13.0</v>
      </c>
      <c r="F13" s="43"/>
      <c r="G13" s="45"/>
    </row>
    <row r="14">
      <c r="A14" s="1"/>
      <c r="B14" s="34" t="s">
        <v>48</v>
      </c>
      <c r="C14" s="54">
        <v>15479.721</v>
      </c>
      <c r="D14" s="38" t="s">
        <v>45</v>
      </c>
      <c r="E14" s="41">
        <v>13.0</v>
      </c>
      <c r="F14" s="43"/>
      <c r="G14" s="45"/>
    </row>
    <row r="15">
      <c r="A15" s="1"/>
      <c r="B15" s="34" t="s">
        <v>49</v>
      </c>
      <c r="C15" s="54">
        <v>2848.404</v>
      </c>
      <c r="D15" s="38" t="s">
        <v>45</v>
      </c>
      <c r="E15" s="41">
        <v>5.0</v>
      </c>
      <c r="F15" s="43"/>
      <c r="G15" s="45"/>
    </row>
    <row r="16">
      <c r="A16" s="1"/>
      <c r="B16" s="23" t="s">
        <v>51</v>
      </c>
      <c r="C16" s="26"/>
      <c r="D16" s="27"/>
      <c r="E16" s="28"/>
      <c r="F16" s="28"/>
      <c r="G16" s="30"/>
    </row>
    <row r="17">
      <c r="A17" s="1"/>
      <c r="B17" s="34" t="s">
        <v>52</v>
      </c>
      <c r="C17" s="35">
        <v>5413.7244</v>
      </c>
      <c r="D17" s="38" t="s">
        <v>45</v>
      </c>
      <c r="E17" s="64">
        <v>8.0</v>
      </c>
      <c r="F17" s="43"/>
      <c r="G17" s="45"/>
    </row>
    <row r="18">
      <c r="A18" s="1"/>
      <c r="B18" s="34" t="s">
        <v>48</v>
      </c>
      <c r="C18" s="35">
        <v>2375.8344</v>
      </c>
      <c r="D18" s="38" t="s">
        <v>45</v>
      </c>
      <c r="E18" s="64">
        <v>11.0</v>
      </c>
      <c r="F18" s="43"/>
      <c r="G18" s="45"/>
    </row>
    <row r="19">
      <c r="A19" s="1"/>
      <c r="B19" s="34" t="s">
        <v>59</v>
      </c>
      <c r="C19" s="35">
        <v>536.2</v>
      </c>
      <c r="D19" s="38" t="s">
        <v>45</v>
      </c>
      <c r="E19" s="64">
        <v>6.0</v>
      </c>
      <c r="F19" s="43"/>
      <c r="G19" s="45"/>
    </row>
    <row r="20">
      <c r="A20" s="1"/>
      <c r="B20" s="34" t="s">
        <v>64</v>
      </c>
      <c r="C20" s="35">
        <v>28200.0</v>
      </c>
      <c r="D20" s="38" t="s">
        <v>58</v>
      </c>
      <c r="E20" s="64">
        <v>6.0</v>
      </c>
      <c r="F20" s="43"/>
      <c r="G20" s="45"/>
    </row>
    <row r="21" ht="15.75" customHeight="1">
      <c r="A21" s="1"/>
      <c r="B21" s="34" t="s">
        <v>66</v>
      </c>
      <c r="C21" s="35">
        <v>1400.0</v>
      </c>
      <c r="D21" s="38" t="s">
        <v>29</v>
      </c>
      <c r="E21" s="64">
        <v>8.0</v>
      </c>
      <c r="F21" s="43"/>
      <c r="G21" s="45"/>
    </row>
    <row r="22" ht="15.75" customHeight="1">
      <c r="A22" s="1"/>
      <c r="B22" s="34" t="s">
        <v>70</v>
      </c>
      <c r="C22" s="35">
        <v>693.0</v>
      </c>
      <c r="D22" s="38" t="s">
        <v>45</v>
      </c>
      <c r="E22" s="41">
        <v>5.0</v>
      </c>
      <c r="F22" s="43"/>
      <c r="G22" s="45"/>
    </row>
    <row r="23" ht="15.75" customHeight="1">
      <c r="A23" s="1"/>
      <c r="B23" s="34" t="s">
        <v>73</v>
      </c>
      <c r="C23" s="35">
        <v>822.610875</v>
      </c>
      <c r="D23" s="38" t="s">
        <v>45</v>
      </c>
      <c r="E23" s="41">
        <v>10.0</v>
      </c>
      <c r="F23" s="43"/>
      <c r="G23" s="45"/>
    </row>
    <row r="24" ht="15.75" customHeight="1">
      <c r="A24" s="1"/>
      <c r="B24" s="34" t="s">
        <v>75</v>
      </c>
      <c r="C24" s="35">
        <v>219.3629</v>
      </c>
      <c r="D24" s="38" t="s">
        <v>45</v>
      </c>
      <c r="E24" s="41">
        <v>6.0</v>
      </c>
      <c r="F24" s="43"/>
      <c r="G24" s="45"/>
    </row>
    <row r="25" ht="15.75" customHeight="1">
      <c r="A25" s="1"/>
      <c r="B25" s="34" t="s">
        <v>78</v>
      </c>
      <c r="C25" s="35">
        <v>3037.89</v>
      </c>
      <c r="D25" s="38" t="s">
        <v>45</v>
      </c>
      <c r="E25" s="41">
        <v>10.0</v>
      </c>
      <c r="F25" s="43"/>
      <c r="G25" s="45"/>
    </row>
    <row r="26" ht="15.75" customHeight="1">
      <c r="A26" s="1"/>
      <c r="B26" s="23" t="s">
        <v>82</v>
      </c>
      <c r="C26" s="26"/>
      <c r="D26" s="27"/>
      <c r="E26" s="28"/>
      <c r="F26" s="28"/>
      <c r="G26" s="30"/>
    </row>
    <row r="27" ht="15.75" customHeight="1">
      <c r="A27" s="1"/>
      <c r="B27" s="34" t="s">
        <v>52</v>
      </c>
      <c r="C27" s="54">
        <v>27353.2492</v>
      </c>
      <c r="D27" s="57" t="s">
        <v>45</v>
      </c>
      <c r="E27" s="76">
        <v>13.0</v>
      </c>
      <c r="F27" s="43"/>
      <c r="G27" s="45"/>
    </row>
    <row r="28" ht="15.75" customHeight="1">
      <c r="A28" s="1"/>
      <c r="B28" s="34" t="s">
        <v>48</v>
      </c>
      <c r="C28" s="54">
        <v>24853.5792</v>
      </c>
      <c r="D28" s="57" t="s">
        <v>45</v>
      </c>
      <c r="E28" s="76">
        <v>14.0</v>
      </c>
      <c r="F28" s="43"/>
      <c r="G28" s="45"/>
    </row>
    <row r="29" ht="15.75" customHeight="1">
      <c r="A29" s="1"/>
      <c r="B29" s="34" t="s">
        <v>59</v>
      </c>
      <c r="C29" s="54">
        <v>182.21000000000004</v>
      </c>
      <c r="D29" s="57" t="s">
        <v>45</v>
      </c>
      <c r="E29" s="76">
        <v>5.0</v>
      </c>
      <c r="F29" s="43"/>
      <c r="G29" s="45"/>
    </row>
    <row r="30" ht="15.75" customHeight="1">
      <c r="A30" s="1"/>
      <c r="B30" s="34" t="s">
        <v>73</v>
      </c>
      <c r="C30" s="54">
        <v>995.6475</v>
      </c>
      <c r="D30" s="57" t="s">
        <v>45</v>
      </c>
      <c r="E30" s="76">
        <v>11.0</v>
      </c>
      <c r="F30" s="43"/>
      <c r="G30" s="45"/>
    </row>
    <row r="31" ht="15.75" customHeight="1">
      <c r="A31" s="1"/>
      <c r="B31" s="34" t="s">
        <v>75</v>
      </c>
      <c r="C31" s="54">
        <v>265.50600000000003</v>
      </c>
      <c r="D31" s="57" t="s">
        <v>45</v>
      </c>
      <c r="E31" s="76">
        <v>7.0</v>
      </c>
      <c r="F31" s="43"/>
      <c r="G31" s="45"/>
    </row>
    <row r="32" ht="15.75" customHeight="1">
      <c r="A32" s="1"/>
      <c r="B32" s="34" t="s">
        <v>102</v>
      </c>
      <c r="C32" s="54">
        <v>6838.3123</v>
      </c>
      <c r="D32" s="57" t="s">
        <v>29</v>
      </c>
      <c r="E32" s="76">
        <v>6.0</v>
      </c>
      <c r="F32" s="43"/>
      <c r="G32" s="45"/>
    </row>
    <row r="33" ht="15.75" customHeight="1">
      <c r="A33" s="1"/>
      <c r="B33" s="34" t="s">
        <v>78</v>
      </c>
      <c r="C33" s="54">
        <v>2499.67</v>
      </c>
      <c r="D33" s="57" t="s">
        <v>45</v>
      </c>
      <c r="E33" s="76">
        <v>4.0</v>
      </c>
      <c r="F33" s="43"/>
      <c r="G33" s="45"/>
    </row>
    <row r="34" ht="15.75" customHeight="1">
      <c r="A34" s="1"/>
      <c r="B34" s="23" t="s">
        <v>110</v>
      </c>
      <c r="C34" s="26"/>
      <c r="D34" s="27"/>
      <c r="E34" s="28"/>
      <c r="F34" s="28"/>
      <c r="G34" s="30"/>
    </row>
    <row r="35" ht="15.75" customHeight="1">
      <c r="A35" s="1"/>
      <c r="B35" s="85" t="s">
        <v>112</v>
      </c>
      <c r="C35" s="86"/>
      <c r="D35" s="87"/>
      <c r="E35" s="89"/>
      <c r="F35" s="91"/>
      <c r="G35" s="94"/>
    </row>
    <row r="36" ht="15.75" customHeight="1">
      <c r="A36" s="1"/>
      <c r="B36" s="34" t="s">
        <v>121</v>
      </c>
      <c r="C36" s="54">
        <v>104.6076</v>
      </c>
      <c r="D36" s="57" t="s">
        <v>45</v>
      </c>
      <c r="E36" s="97">
        <v>1.0</v>
      </c>
      <c r="F36" s="43"/>
      <c r="G36" s="98"/>
    </row>
    <row r="37" ht="15.75" customHeight="1">
      <c r="A37" s="1"/>
      <c r="B37" s="34" t="s">
        <v>126</v>
      </c>
      <c r="C37" s="54">
        <v>93.86760000000001</v>
      </c>
      <c r="D37" s="57" t="s">
        <v>45</v>
      </c>
      <c r="E37" s="76">
        <v>1.0</v>
      </c>
      <c r="F37" s="43"/>
      <c r="G37" s="45"/>
    </row>
    <row r="38" ht="15.75" customHeight="1">
      <c r="A38" s="1"/>
      <c r="B38" s="34" t="s">
        <v>128</v>
      </c>
      <c r="C38" s="54">
        <v>154.132</v>
      </c>
      <c r="D38" s="57" t="s">
        <v>58</v>
      </c>
      <c r="E38" s="76">
        <v>1.0</v>
      </c>
      <c r="F38" s="43"/>
      <c r="G38" s="45"/>
    </row>
    <row r="39" ht="15.75" customHeight="1">
      <c r="A39" s="1"/>
      <c r="B39" s="34" t="s">
        <v>132</v>
      </c>
      <c r="C39" s="54">
        <v>214.8</v>
      </c>
      <c r="D39" s="57" t="s">
        <v>45</v>
      </c>
      <c r="E39" s="76">
        <v>3.0</v>
      </c>
      <c r="F39" s="43"/>
      <c r="G39" s="45"/>
    </row>
    <row r="40" ht="15.75" customHeight="1">
      <c r="A40" s="1"/>
      <c r="B40" s="34" t="s">
        <v>133</v>
      </c>
      <c r="C40" s="54">
        <v>125.22840000000001</v>
      </c>
      <c r="D40" s="57" t="s">
        <v>45</v>
      </c>
      <c r="E40" s="76">
        <v>3.0</v>
      </c>
      <c r="F40" s="43"/>
      <c r="G40" s="45"/>
    </row>
    <row r="41" ht="15.75" customHeight="1">
      <c r="A41" s="1"/>
      <c r="B41" s="34" t="s">
        <v>136</v>
      </c>
      <c r="C41" s="54">
        <v>10.74</v>
      </c>
      <c r="D41" s="57" t="s">
        <v>45</v>
      </c>
      <c r="E41" s="76">
        <v>1.0</v>
      </c>
      <c r="F41" s="43"/>
      <c r="G41" s="45"/>
    </row>
    <row r="42" ht="15.75" customHeight="1">
      <c r="A42" s="1"/>
      <c r="B42" s="85" t="s">
        <v>138</v>
      </c>
      <c r="C42" s="86"/>
      <c r="D42" s="87"/>
      <c r="E42" s="89"/>
      <c r="F42" s="91"/>
      <c r="G42" s="94"/>
    </row>
    <row r="43" ht="15.75" customHeight="1">
      <c r="A43" s="1"/>
      <c r="B43" s="34" t="s">
        <v>121</v>
      </c>
      <c r="C43" s="54">
        <v>2442.96</v>
      </c>
      <c r="D43" s="57" t="s">
        <v>45</v>
      </c>
      <c r="E43" s="76">
        <v>4.0</v>
      </c>
      <c r="F43" s="43"/>
      <c r="G43" s="45"/>
    </row>
    <row r="44" ht="15.75" customHeight="1">
      <c r="A44" s="1"/>
      <c r="B44" s="34" t="s">
        <v>126</v>
      </c>
      <c r="C44" s="54">
        <v>1818.96</v>
      </c>
      <c r="D44" s="57" t="s">
        <v>45</v>
      </c>
      <c r="E44" s="76">
        <v>5.0</v>
      </c>
      <c r="F44" s="43"/>
      <c r="G44" s="45"/>
    </row>
    <row r="45" ht="15.75" customHeight="1">
      <c r="A45" s="1"/>
      <c r="B45" s="34" t="s">
        <v>145</v>
      </c>
      <c r="C45" s="54">
        <v>85.80000000000001</v>
      </c>
      <c r="D45" s="57" t="s">
        <v>45</v>
      </c>
      <c r="E45" s="76">
        <v>2.0</v>
      </c>
      <c r="F45" s="43"/>
      <c r="G45" s="45"/>
    </row>
    <row r="46" ht="15.75" customHeight="1">
      <c r="A46" s="1"/>
      <c r="B46" s="34" t="s">
        <v>149</v>
      </c>
      <c r="C46" s="54">
        <v>918.4499999999999</v>
      </c>
      <c r="D46" s="57" t="s">
        <v>45</v>
      </c>
      <c r="E46" s="76">
        <v>11.0</v>
      </c>
      <c r="F46" s="43"/>
      <c r="G46" s="45"/>
    </row>
    <row r="47" ht="15.75" customHeight="1">
      <c r="A47" s="1"/>
      <c r="B47" s="34" t="s">
        <v>153</v>
      </c>
      <c r="C47" s="54">
        <v>244.92</v>
      </c>
      <c r="D47" s="57" t="s">
        <v>45</v>
      </c>
      <c r="E47" s="76">
        <v>6.0</v>
      </c>
      <c r="F47" s="43"/>
      <c r="G47" s="45"/>
    </row>
    <row r="48" ht="15.75" customHeight="1">
      <c r="A48" s="1"/>
      <c r="B48" s="34" t="s">
        <v>155</v>
      </c>
      <c r="C48" s="54">
        <v>61.23</v>
      </c>
      <c r="D48" s="57" t="s">
        <v>45</v>
      </c>
      <c r="E48" s="76">
        <v>1.0</v>
      </c>
      <c r="F48" s="43"/>
      <c r="G48" s="45"/>
    </row>
    <row r="49" ht="15.75" customHeight="1">
      <c r="A49" s="1"/>
      <c r="B49" s="34" t="s">
        <v>157</v>
      </c>
      <c r="C49" s="54">
        <v>624.0</v>
      </c>
      <c r="D49" s="57" t="s">
        <v>45</v>
      </c>
      <c r="E49" s="76">
        <v>3.0</v>
      </c>
      <c r="F49" s="43"/>
      <c r="G49" s="45"/>
    </row>
    <row r="50" ht="15.75" customHeight="1">
      <c r="A50" s="1"/>
      <c r="B50" s="23" t="s">
        <v>160</v>
      </c>
      <c r="C50" s="26"/>
      <c r="D50" s="27"/>
      <c r="E50" s="28"/>
      <c r="F50" s="28"/>
      <c r="G50" s="30"/>
    </row>
    <row r="51" ht="15.75" customHeight="1">
      <c r="A51" s="1"/>
      <c r="B51" s="34" t="s">
        <v>161</v>
      </c>
      <c r="C51" s="54">
        <v>984.9924</v>
      </c>
      <c r="D51" s="57" t="s">
        <v>45</v>
      </c>
      <c r="E51" s="76">
        <v>3.0</v>
      </c>
      <c r="F51" s="43"/>
      <c r="G51" s="45"/>
    </row>
    <row r="52" ht="15.75" customHeight="1">
      <c r="A52" s="1"/>
      <c r="B52" s="34" t="s">
        <v>48</v>
      </c>
      <c r="C52" s="54">
        <v>801.7379999999999</v>
      </c>
      <c r="D52" s="57" t="s">
        <v>45</v>
      </c>
      <c r="E52" s="76">
        <v>4.0</v>
      </c>
      <c r="F52" s="43"/>
      <c r="G52" s="45"/>
    </row>
    <row r="53" ht="15.75" customHeight="1">
      <c r="A53" s="1"/>
      <c r="B53" s="34" t="s">
        <v>59</v>
      </c>
      <c r="C53" s="54">
        <v>68.72040000000001</v>
      </c>
      <c r="D53" s="57" t="s">
        <v>45</v>
      </c>
      <c r="E53" s="76">
        <v>2.0</v>
      </c>
      <c r="F53" s="43"/>
      <c r="G53" s="45"/>
    </row>
    <row r="54" ht="15.75" customHeight="1">
      <c r="A54" s="1"/>
      <c r="B54" s="34" t="s">
        <v>73</v>
      </c>
      <c r="C54" s="54">
        <v>194.70780000000002</v>
      </c>
      <c r="D54" s="57" t="s">
        <v>45</v>
      </c>
      <c r="E54" s="76">
        <v>5.0</v>
      </c>
      <c r="F54" s="43"/>
      <c r="G54" s="45"/>
    </row>
    <row r="55" ht="15.75" customHeight="1">
      <c r="A55" s="1"/>
      <c r="B55" s="34" t="s">
        <v>75</v>
      </c>
      <c r="C55" s="54">
        <v>12.980520000000002</v>
      </c>
      <c r="D55" s="57" t="s">
        <v>45</v>
      </c>
      <c r="E55" s="76">
        <v>1.0</v>
      </c>
      <c r="F55" s="43"/>
      <c r="G55" s="45"/>
    </row>
    <row r="56" ht="15.75" customHeight="1">
      <c r="A56" s="1"/>
      <c r="B56" s="34" t="s">
        <v>163</v>
      </c>
      <c r="C56" s="54">
        <v>259.6104</v>
      </c>
      <c r="D56" s="57" t="s">
        <v>45</v>
      </c>
      <c r="E56" s="76">
        <v>5.0</v>
      </c>
      <c r="F56" s="43"/>
      <c r="G56" s="45"/>
    </row>
    <row r="57" ht="15.75" customHeight="1">
      <c r="A57" s="1"/>
      <c r="B57" s="34" t="s">
        <v>165</v>
      </c>
      <c r="C57" s="54">
        <v>1.0</v>
      </c>
      <c r="D57" s="57" t="s">
        <v>166</v>
      </c>
      <c r="E57" s="76">
        <v>2.0</v>
      </c>
      <c r="F57" s="43">
        <v>6600000.0</v>
      </c>
      <c r="G57" s="45"/>
    </row>
    <row r="58" ht="15.75" customHeight="1">
      <c r="A58" s="1"/>
      <c r="B58" s="34" t="s">
        <v>167</v>
      </c>
      <c r="C58" s="54">
        <v>183.2544</v>
      </c>
      <c r="D58" s="57" t="s">
        <v>45</v>
      </c>
      <c r="E58" s="76">
        <v>2.0</v>
      </c>
      <c r="F58" s="43"/>
      <c r="G58" s="45"/>
    </row>
    <row r="59" ht="15.75" customHeight="1">
      <c r="A59" s="1"/>
      <c r="B59" s="23" t="s">
        <v>168</v>
      </c>
      <c r="C59" s="26"/>
      <c r="D59" s="27"/>
      <c r="E59" s="28"/>
      <c r="F59" s="28"/>
      <c r="G59" s="30"/>
    </row>
    <row r="60" ht="15.75" customHeight="1">
      <c r="A60" s="1"/>
      <c r="B60" s="34" t="s">
        <v>161</v>
      </c>
      <c r="C60" s="54">
        <v>290.25</v>
      </c>
      <c r="D60" s="57" t="s">
        <v>45</v>
      </c>
      <c r="E60" s="76">
        <v>2.0</v>
      </c>
      <c r="F60" s="43"/>
      <c r="G60" s="45"/>
    </row>
    <row r="61" ht="15.75" customHeight="1">
      <c r="A61" s="1"/>
      <c r="B61" s="34" t="s">
        <v>48</v>
      </c>
      <c r="C61" s="54">
        <v>235.77</v>
      </c>
      <c r="D61" s="57" t="s">
        <v>45</v>
      </c>
      <c r="E61" s="76">
        <v>2.0</v>
      </c>
      <c r="F61" s="43"/>
      <c r="G61" s="45"/>
    </row>
    <row r="62" ht="15.75" customHeight="1">
      <c r="A62" s="1"/>
      <c r="B62" s="34" t="s">
        <v>59</v>
      </c>
      <c r="C62" s="54">
        <v>27.36</v>
      </c>
      <c r="D62" s="57" t="s">
        <v>45</v>
      </c>
      <c r="E62" s="76">
        <v>1.0</v>
      </c>
      <c r="F62" s="43"/>
      <c r="G62" s="45"/>
    </row>
    <row r="63" ht="15.75" customHeight="1">
      <c r="A63" s="1"/>
      <c r="B63" s="34" t="s">
        <v>73</v>
      </c>
      <c r="C63" s="54">
        <v>54.5625</v>
      </c>
      <c r="D63" s="57" t="s">
        <v>45</v>
      </c>
      <c r="E63" s="76">
        <v>2.0</v>
      </c>
      <c r="F63" s="43"/>
      <c r="G63" s="45"/>
    </row>
    <row r="64" ht="15.75" customHeight="1">
      <c r="A64" s="1"/>
      <c r="B64" s="34" t="s">
        <v>75</v>
      </c>
      <c r="C64" s="54">
        <v>14.55</v>
      </c>
      <c r="D64" s="57" t="s">
        <v>45</v>
      </c>
      <c r="E64" s="76">
        <v>1.0</v>
      </c>
      <c r="F64" s="43"/>
      <c r="G64" s="45"/>
    </row>
    <row r="65" ht="15.75" customHeight="1">
      <c r="A65" s="1"/>
      <c r="B65" s="34" t="s">
        <v>163</v>
      </c>
      <c r="C65" s="54">
        <v>3.6375</v>
      </c>
      <c r="D65" s="57" t="s">
        <v>45</v>
      </c>
      <c r="E65" s="76">
        <v>1.0</v>
      </c>
      <c r="F65" s="43"/>
      <c r="G65" s="45"/>
    </row>
    <row r="66" ht="15.75" customHeight="1">
      <c r="A66" s="1"/>
      <c r="B66" s="34" t="s">
        <v>165</v>
      </c>
      <c r="C66" s="54">
        <v>1.0</v>
      </c>
      <c r="D66" s="57" t="s">
        <v>166</v>
      </c>
      <c r="E66" s="76">
        <v>2.0</v>
      </c>
      <c r="F66" s="43">
        <f>F57</f>
        <v>6600000</v>
      </c>
      <c r="G66" s="45"/>
    </row>
    <row r="67" ht="15.75" customHeight="1">
      <c r="A67" s="1"/>
      <c r="B67" s="34" t="s">
        <v>167</v>
      </c>
      <c r="C67" s="54">
        <v>54.48</v>
      </c>
      <c r="D67" s="57" t="s">
        <v>45</v>
      </c>
      <c r="E67" s="76">
        <v>1.0</v>
      </c>
      <c r="F67" s="43"/>
      <c r="G67" s="45"/>
    </row>
    <row r="68" ht="15.75" customHeight="1">
      <c r="A68" s="1"/>
      <c r="B68" s="23" t="s">
        <v>172</v>
      </c>
      <c r="C68" s="26"/>
      <c r="D68" s="27"/>
      <c r="E68" s="28"/>
      <c r="F68" s="28"/>
      <c r="G68" s="30"/>
    </row>
    <row r="69" ht="15.75" customHeight="1">
      <c r="A69" s="1"/>
      <c r="B69" s="34" t="s">
        <v>161</v>
      </c>
      <c r="C69" s="54">
        <v>54.7008</v>
      </c>
      <c r="D69" s="38" t="s">
        <v>45</v>
      </c>
      <c r="E69" s="41">
        <v>2.0</v>
      </c>
      <c r="F69" s="43"/>
      <c r="G69" s="45"/>
    </row>
    <row r="70" ht="15.75" customHeight="1">
      <c r="A70" s="1"/>
      <c r="B70" s="34" t="s">
        <v>48</v>
      </c>
      <c r="C70" s="54">
        <v>48.2048</v>
      </c>
      <c r="D70" s="38" t="s">
        <v>45</v>
      </c>
      <c r="E70" s="41">
        <v>2.0</v>
      </c>
      <c r="F70" s="43"/>
      <c r="G70" s="45"/>
    </row>
    <row r="71" ht="15.75" customHeight="1">
      <c r="A71" s="1"/>
      <c r="B71" s="34" t="s">
        <v>59</v>
      </c>
      <c r="C71" s="54">
        <v>4.144</v>
      </c>
      <c r="D71" s="38" t="s">
        <v>45</v>
      </c>
      <c r="E71" s="41">
        <v>2.0</v>
      </c>
      <c r="F71" s="43"/>
      <c r="G71" s="45"/>
    </row>
    <row r="72" ht="15.75" customHeight="1">
      <c r="A72" s="1"/>
      <c r="B72" s="34" t="s">
        <v>174</v>
      </c>
      <c r="C72" s="54">
        <v>184.0</v>
      </c>
      <c r="D72" s="38" t="s">
        <v>45</v>
      </c>
      <c r="E72" s="41">
        <v>9.0</v>
      </c>
      <c r="F72" s="43"/>
      <c r="G72" s="45"/>
    </row>
    <row r="73" ht="15.75" customHeight="1">
      <c r="A73" s="1"/>
      <c r="B73" s="34" t="s">
        <v>167</v>
      </c>
      <c r="C73" s="54">
        <v>6.496</v>
      </c>
      <c r="D73" s="38" t="s">
        <v>45</v>
      </c>
      <c r="E73" s="41">
        <v>1.0</v>
      </c>
      <c r="F73" s="43"/>
      <c r="G73" s="45"/>
    </row>
    <row r="74" ht="15.75" customHeight="1">
      <c r="A74" s="1"/>
      <c r="B74" s="23" t="s">
        <v>176</v>
      </c>
      <c r="C74" s="26"/>
      <c r="D74" s="27"/>
      <c r="E74" s="28"/>
      <c r="F74" s="28"/>
      <c r="G74" s="30"/>
    </row>
    <row r="75" ht="15.75" customHeight="1">
      <c r="A75" s="1"/>
      <c r="B75" s="34" t="s">
        <v>177</v>
      </c>
      <c r="C75" s="35">
        <v>1.0</v>
      </c>
      <c r="D75" s="38" t="s">
        <v>22</v>
      </c>
      <c r="E75" s="121">
        <v>17.0</v>
      </c>
      <c r="F75" s="43">
        <v>2.5E7</v>
      </c>
      <c r="G75" s="45"/>
    </row>
    <row r="76" ht="15.75" customHeight="1">
      <c r="A76" s="1"/>
      <c r="B76" s="34" t="s">
        <v>178</v>
      </c>
      <c r="C76" s="35">
        <v>1.0</v>
      </c>
      <c r="D76" s="38" t="s">
        <v>22</v>
      </c>
      <c r="E76" s="121">
        <v>14.0</v>
      </c>
      <c r="F76" s="43">
        <v>2.0E7</v>
      </c>
      <c r="G76" s="45"/>
    </row>
    <row r="77" ht="15.75" customHeight="1">
      <c r="A77" s="1"/>
      <c r="B77" s="34" t="s">
        <v>179</v>
      </c>
      <c r="C77" s="35">
        <v>1.0</v>
      </c>
      <c r="D77" s="38" t="s">
        <v>22</v>
      </c>
      <c r="E77" s="121">
        <v>5.0</v>
      </c>
      <c r="F77" s="43">
        <v>8.0E7</v>
      </c>
      <c r="G77" s="45"/>
    </row>
    <row r="78" ht="15.75" customHeight="1">
      <c r="A78" s="1"/>
      <c r="B78" s="34" t="s">
        <v>181</v>
      </c>
      <c r="C78" s="35">
        <v>1.0</v>
      </c>
      <c r="D78" s="38" t="s">
        <v>22</v>
      </c>
      <c r="E78" s="121">
        <v>11.0</v>
      </c>
      <c r="F78" s="43">
        <v>1.2E7</v>
      </c>
      <c r="G78" s="45"/>
    </row>
    <row r="79" ht="15.75" customHeight="1">
      <c r="A79" s="1"/>
      <c r="B79" s="34" t="s">
        <v>182</v>
      </c>
      <c r="C79" s="35">
        <v>1.0</v>
      </c>
      <c r="D79" s="38" t="s">
        <v>22</v>
      </c>
      <c r="E79" s="121">
        <v>5.0</v>
      </c>
      <c r="F79" s="43">
        <v>5.0E7</v>
      </c>
      <c r="G79" s="45"/>
    </row>
    <row r="80" ht="15.75" customHeight="1">
      <c r="A80" s="1"/>
      <c r="B80" s="34" t="s">
        <v>183</v>
      </c>
      <c r="C80" s="35">
        <v>1.0</v>
      </c>
      <c r="D80" s="38" t="s">
        <v>22</v>
      </c>
      <c r="E80" s="121">
        <v>9.0</v>
      </c>
      <c r="F80" s="43">
        <v>1.6E8</v>
      </c>
      <c r="G80" s="45"/>
    </row>
    <row r="81" ht="15.75" customHeight="1">
      <c r="A81" s="1"/>
      <c r="B81" s="34" t="s">
        <v>184</v>
      </c>
      <c r="C81" s="35">
        <v>1.0</v>
      </c>
      <c r="D81" s="38" t="s">
        <v>22</v>
      </c>
      <c r="E81" s="121">
        <v>6.0</v>
      </c>
      <c r="F81" s="43">
        <v>1.0E7</v>
      </c>
      <c r="G81" s="45"/>
    </row>
    <row r="82" ht="15.75" customHeight="1">
      <c r="A82" s="1"/>
      <c r="B82" s="34" t="s">
        <v>185</v>
      </c>
      <c r="C82" s="35">
        <v>1.0</v>
      </c>
      <c r="D82" s="38" t="s">
        <v>22</v>
      </c>
      <c r="E82" s="121">
        <v>9.0</v>
      </c>
      <c r="F82" s="43">
        <v>2500000.0</v>
      </c>
      <c r="G82" s="45"/>
    </row>
    <row r="83" ht="15.75" customHeight="1">
      <c r="A83" s="1"/>
      <c r="B83" s="34" t="s">
        <v>186</v>
      </c>
      <c r="C83" s="35">
        <v>1.0</v>
      </c>
      <c r="D83" s="38" t="s">
        <v>22</v>
      </c>
      <c r="E83" s="121">
        <v>2.0</v>
      </c>
      <c r="F83" s="43">
        <v>550000.0</v>
      </c>
      <c r="G83" s="45"/>
    </row>
    <row r="84" ht="15.75" customHeight="1">
      <c r="A84" s="1"/>
      <c r="B84" s="34" t="s">
        <v>187</v>
      </c>
      <c r="C84" s="35">
        <v>1.0</v>
      </c>
      <c r="D84" s="38" t="s">
        <v>22</v>
      </c>
      <c r="E84" s="121">
        <v>2.0</v>
      </c>
      <c r="F84" s="43">
        <f>F7</f>
        <v>1500000</v>
      </c>
      <c r="G84" s="45"/>
    </row>
    <row r="85" ht="15.75" customHeight="1">
      <c r="A85" s="1"/>
      <c r="B85" s="127" t="s">
        <v>188</v>
      </c>
      <c r="C85" s="129"/>
      <c r="D85" s="18"/>
      <c r="E85" s="20"/>
      <c r="F85" s="20"/>
      <c r="G85" s="130"/>
    </row>
    <row r="86" ht="15.75" customHeight="1">
      <c r="A86" s="1"/>
      <c r="B86" s="127" t="s">
        <v>189</v>
      </c>
      <c r="C86" s="129"/>
      <c r="D86" s="18"/>
      <c r="E86" s="20"/>
      <c r="F86" s="20"/>
      <c r="G86" s="131"/>
    </row>
    <row r="87" ht="15.75" customHeight="1">
      <c r="A87" s="1"/>
      <c r="B87" s="127" t="s">
        <v>188</v>
      </c>
      <c r="C87" s="129"/>
      <c r="D87" s="18"/>
      <c r="E87" s="20"/>
      <c r="F87" s="20"/>
      <c r="G87" s="131"/>
    </row>
    <row r="88" ht="15.75" customHeight="1">
      <c r="A88" s="1"/>
      <c r="B88" s="127" t="s">
        <v>191</v>
      </c>
      <c r="C88" s="129"/>
      <c r="D88" s="18"/>
      <c r="E88" s="20"/>
      <c r="F88" s="20"/>
      <c r="G88" s="132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B3"/>
    <mergeCell ref="C2:C3"/>
    <mergeCell ref="D2:D3"/>
    <mergeCell ref="E2:E3"/>
    <mergeCell ref="F2:F3"/>
    <mergeCell ref="G2:G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8.71"/>
    <col customWidth="1" min="3" max="3" width="48.57"/>
    <col customWidth="1" min="4" max="4" width="11.71"/>
    <col customWidth="1" min="5" max="5" width="19.29"/>
    <col customWidth="1" min="6" max="6" width="10.57"/>
    <col customWidth="1" min="7" max="7" width="8.71"/>
  </cols>
  <sheetData>
    <row r="1" ht="14.25" customHeight="1">
      <c r="B1" s="2"/>
      <c r="C1" s="3"/>
      <c r="D1" s="3"/>
      <c r="E1" s="5"/>
    </row>
    <row r="2" ht="14.25" customHeight="1">
      <c r="B2" s="8" t="s">
        <v>4</v>
      </c>
      <c r="C2" s="9" t="s">
        <v>7</v>
      </c>
      <c r="D2" s="10" t="s">
        <v>8</v>
      </c>
      <c r="E2" s="11" t="s">
        <v>9</v>
      </c>
    </row>
    <row r="3" ht="14.25" customHeight="1">
      <c r="B3" s="13">
        <v>1.0</v>
      </c>
      <c r="C3" s="17">
        <v>2.0</v>
      </c>
      <c r="D3" s="21">
        <v>3.0</v>
      </c>
      <c r="E3" s="22">
        <v>4.0</v>
      </c>
    </row>
    <row r="4" ht="14.25" customHeight="1">
      <c r="B4" s="25" t="s">
        <v>15</v>
      </c>
      <c r="C4" s="29" t="s">
        <v>17</v>
      </c>
      <c r="D4" s="31"/>
      <c r="E4" s="32"/>
    </row>
    <row r="5" ht="14.25" customHeight="1">
      <c r="B5" s="36">
        <v>1.0</v>
      </c>
      <c r="C5" s="40" t="s">
        <v>23</v>
      </c>
      <c r="D5" s="42" t="s">
        <v>24</v>
      </c>
      <c r="E5" s="44">
        <v>59000.0</v>
      </c>
    </row>
    <row r="6" ht="14.25" customHeight="1">
      <c r="B6" s="36">
        <v>2.0</v>
      </c>
      <c r="C6" s="46" t="s">
        <v>25</v>
      </c>
      <c r="D6" s="47" t="s">
        <v>24</v>
      </c>
      <c r="E6" s="49">
        <v>62000.0</v>
      </c>
    </row>
    <row r="7" ht="14.25" customHeight="1">
      <c r="B7" s="36">
        <v>3.0</v>
      </c>
      <c r="C7" s="46" t="s">
        <v>30</v>
      </c>
      <c r="D7" s="47" t="s">
        <v>24</v>
      </c>
      <c r="E7" s="49">
        <v>70000.0</v>
      </c>
    </row>
    <row r="8" ht="14.25" customHeight="1">
      <c r="B8" s="36">
        <v>4.0</v>
      </c>
      <c r="C8" s="46" t="s">
        <v>33</v>
      </c>
      <c r="D8" s="47" t="s">
        <v>24</v>
      </c>
      <c r="E8" s="49">
        <v>62000.0</v>
      </c>
    </row>
    <row r="9" ht="14.25" customHeight="1">
      <c r="B9" s="36">
        <v>5.0</v>
      </c>
      <c r="C9" s="46" t="s">
        <v>36</v>
      </c>
      <c r="D9" s="47" t="s">
        <v>24</v>
      </c>
      <c r="E9" s="49">
        <v>62000.0</v>
      </c>
    </row>
    <row r="10" ht="14.25" customHeight="1">
      <c r="B10" s="36">
        <v>6.0</v>
      </c>
      <c r="C10" s="46" t="s">
        <v>38</v>
      </c>
      <c r="D10" s="47" t="s">
        <v>24</v>
      </c>
      <c r="E10" s="49">
        <v>72500.0</v>
      </c>
    </row>
    <row r="11" ht="14.25" customHeight="1">
      <c r="B11" s="36">
        <v>7.0</v>
      </c>
      <c r="C11" s="46" t="s">
        <v>40</v>
      </c>
      <c r="D11" s="47" t="s">
        <v>24</v>
      </c>
      <c r="E11" s="49">
        <v>72500.0</v>
      </c>
    </row>
    <row r="12" ht="14.25" customHeight="1">
      <c r="B12" s="36">
        <v>8.0</v>
      </c>
      <c r="C12" s="52" t="s">
        <v>42</v>
      </c>
      <c r="D12" s="53" t="s">
        <v>24</v>
      </c>
      <c r="E12" s="55">
        <v>80000.0</v>
      </c>
    </row>
    <row r="13" ht="14.25" customHeight="1">
      <c r="B13" s="56" t="s">
        <v>46</v>
      </c>
      <c r="C13" s="29" t="s">
        <v>47</v>
      </c>
      <c r="D13" s="31"/>
      <c r="E13" s="32"/>
    </row>
    <row r="14" ht="14.25" customHeight="1">
      <c r="B14" s="58">
        <v>1.0</v>
      </c>
      <c r="C14" s="59" t="s">
        <v>50</v>
      </c>
      <c r="D14" s="58" t="s">
        <v>45</v>
      </c>
      <c r="E14" s="60">
        <v>3333333.0</v>
      </c>
    </row>
    <row r="15" ht="14.25" customHeight="1">
      <c r="B15" s="61">
        <v>2.0</v>
      </c>
      <c r="C15" s="62" t="s">
        <v>53</v>
      </c>
      <c r="D15" s="61" t="s">
        <v>55</v>
      </c>
      <c r="E15" s="66">
        <v>23100.0</v>
      </c>
    </row>
    <row r="16" ht="14.25" customHeight="1">
      <c r="B16" s="61">
        <v>3.0</v>
      </c>
      <c r="C16" s="62" t="s">
        <v>57</v>
      </c>
      <c r="D16" s="61" t="s">
        <v>58</v>
      </c>
      <c r="E16" s="66">
        <v>25000.0</v>
      </c>
    </row>
    <row r="17" ht="14.25" customHeight="1">
      <c r="B17" s="61">
        <v>4.0</v>
      </c>
      <c r="C17" s="62" t="s">
        <v>60</v>
      </c>
      <c r="D17" s="61" t="s">
        <v>45</v>
      </c>
      <c r="E17" s="66">
        <v>214285.71</v>
      </c>
    </row>
    <row r="18" ht="14.25" customHeight="1">
      <c r="B18" s="61">
        <v>5.0</v>
      </c>
      <c r="C18" s="62" t="s">
        <v>61</v>
      </c>
      <c r="D18" s="61" t="s">
        <v>45</v>
      </c>
      <c r="E18" s="66">
        <v>1035.0</v>
      </c>
    </row>
    <row r="19" ht="14.25" customHeight="1">
      <c r="B19" s="61">
        <v>6.0</v>
      </c>
      <c r="C19" s="62" t="s">
        <v>62</v>
      </c>
      <c r="D19" s="61" t="s">
        <v>63</v>
      </c>
      <c r="E19" s="66">
        <v>45000.0</v>
      </c>
    </row>
    <row r="20" ht="14.25" customHeight="1">
      <c r="B20" s="61">
        <v>7.0</v>
      </c>
      <c r="C20" s="62" t="s">
        <v>65</v>
      </c>
      <c r="D20" s="61" t="s">
        <v>58</v>
      </c>
      <c r="E20" s="66">
        <v>9000.0</v>
      </c>
    </row>
    <row r="21" ht="14.25" customHeight="1">
      <c r="B21" s="61">
        <v>8.0</v>
      </c>
      <c r="C21" s="62" t="s">
        <v>67</v>
      </c>
      <c r="D21" s="61" t="s">
        <v>68</v>
      </c>
      <c r="E21" s="66">
        <v>20000.0</v>
      </c>
    </row>
    <row r="22" ht="14.25" customHeight="1">
      <c r="B22" s="61">
        <v>9.0</v>
      </c>
      <c r="C22" s="62" t="s">
        <v>69</v>
      </c>
      <c r="D22" s="61" t="s">
        <v>45</v>
      </c>
      <c r="E22" s="66">
        <v>289100.0</v>
      </c>
    </row>
    <row r="23" ht="14.25" customHeight="1">
      <c r="B23" s="61">
        <v>10.0</v>
      </c>
      <c r="C23" s="62" t="s">
        <v>71</v>
      </c>
      <c r="D23" s="61" t="s">
        <v>45</v>
      </c>
      <c r="E23" s="66">
        <v>294000.0</v>
      </c>
    </row>
    <row r="24" ht="14.25" customHeight="1">
      <c r="B24" s="61">
        <v>11.0</v>
      </c>
      <c r="C24" s="62" t="s">
        <v>72</v>
      </c>
      <c r="D24" s="61" t="s">
        <v>58</v>
      </c>
      <c r="E24" s="66">
        <v>163.0</v>
      </c>
      <c r="F24" s="70"/>
    </row>
    <row r="25" ht="14.25" customHeight="1">
      <c r="B25" s="61">
        <v>12.0</v>
      </c>
      <c r="C25" s="62" t="s">
        <v>74</v>
      </c>
      <c r="D25" s="61" t="s">
        <v>58</v>
      </c>
      <c r="E25" s="66">
        <v>4500.0</v>
      </c>
    </row>
    <row r="26" ht="14.25" customHeight="1">
      <c r="B26" s="61">
        <v>13.0</v>
      </c>
      <c r="C26" s="62" t="s">
        <v>76</v>
      </c>
      <c r="D26" s="61" t="s">
        <v>45</v>
      </c>
      <c r="E26" s="66">
        <v>163.0</v>
      </c>
    </row>
    <row r="27" ht="14.25" customHeight="1">
      <c r="B27" s="61">
        <v>14.0</v>
      </c>
      <c r="C27" s="62" t="s">
        <v>77</v>
      </c>
      <c r="D27" s="61" t="s">
        <v>58</v>
      </c>
      <c r="E27" s="66">
        <v>850.0</v>
      </c>
    </row>
    <row r="28" ht="14.25" customHeight="1">
      <c r="B28" s="61">
        <v>15.0</v>
      </c>
      <c r="C28" s="62" t="s">
        <v>79</v>
      </c>
      <c r="D28" s="61" t="s">
        <v>58</v>
      </c>
      <c r="E28" s="66">
        <v>165.0</v>
      </c>
    </row>
    <row r="29" ht="14.25" customHeight="1">
      <c r="B29" s="61">
        <v>16.0</v>
      </c>
      <c r="C29" s="62" t="s">
        <v>80</v>
      </c>
      <c r="D29" s="61" t="s">
        <v>81</v>
      </c>
      <c r="E29" s="66">
        <v>50.0</v>
      </c>
    </row>
    <row r="30" ht="14.25" customHeight="1">
      <c r="B30" s="61">
        <v>17.0</v>
      </c>
      <c r="C30" s="62" t="s">
        <v>84</v>
      </c>
      <c r="D30" s="61" t="s">
        <v>45</v>
      </c>
      <c r="E30" s="66">
        <v>140000.0</v>
      </c>
    </row>
    <row r="31" ht="14.25" customHeight="1">
      <c r="B31" s="61">
        <v>18.0</v>
      </c>
      <c r="C31" s="62" t="s">
        <v>85</v>
      </c>
      <c r="D31" s="61" t="s">
        <v>58</v>
      </c>
      <c r="E31" s="66">
        <v>19333.33</v>
      </c>
    </row>
    <row r="32" ht="14.25" customHeight="1">
      <c r="B32" s="61">
        <v>19.0</v>
      </c>
      <c r="C32" s="62" t="s">
        <v>86</v>
      </c>
      <c r="D32" s="61" t="s">
        <v>29</v>
      </c>
      <c r="E32" s="66">
        <v>132000.0</v>
      </c>
    </row>
    <row r="33" ht="14.25" customHeight="1">
      <c r="B33" s="61">
        <v>20.0</v>
      </c>
      <c r="C33" s="62" t="s">
        <v>87</v>
      </c>
      <c r="D33" s="61" t="s">
        <v>88</v>
      </c>
      <c r="E33" s="66">
        <v>310000.0</v>
      </c>
    </row>
    <row r="34" ht="14.25" customHeight="1">
      <c r="B34" s="61">
        <v>21.0</v>
      </c>
      <c r="C34" s="62" t="s">
        <v>89</v>
      </c>
      <c r="D34" s="61" t="s">
        <v>58</v>
      </c>
      <c r="E34" s="66">
        <v>18666.67</v>
      </c>
    </row>
    <row r="35" ht="14.25" customHeight="1">
      <c r="B35" s="61">
        <v>22.0</v>
      </c>
      <c r="C35" s="62" t="s">
        <v>92</v>
      </c>
      <c r="D35" s="61" t="s">
        <v>81</v>
      </c>
      <c r="E35" s="66">
        <v>5000.0</v>
      </c>
    </row>
    <row r="36" ht="14.25" customHeight="1">
      <c r="B36" s="61">
        <v>23.0</v>
      </c>
      <c r="C36" s="79" t="s">
        <v>93</v>
      </c>
      <c r="D36" s="80" t="s">
        <v>29</v>
      </c>
      <c r="E36" s="81">
        <v>27500.0</v>
      </c>
    </row>
    <row r="37" ht="14.25" customHeight="1">
      <c r="B37" s="61">
        <v>24.0</v>
      </c>
      <c r="C37" s="62" t="s">
        <v>94</v>
      </c>
      <c r="D37" s="61" t="s">
        <v>45</v>
      </c>
      <c r="E37" s="49">
        <v>618255.0</v>
      </c>
    </row>
    <row r="38" ht="14.25" customHeight="1">
      <c r="B38" s="61">
        <v>25.0</v>
      </c>
      <c r="C38" s="62" t="s">
        <v>96</v>
      </c>
      <c r="D38" s="61" t="s">
        <v>97</v>
      </c>
      <c r="E38" s="49">
        <v>9517.0</v>
      </c>
    </row>
    <row r="39" ht="14.25" customHeight="1">
      <c r="B39" s="61">
        <v>26.0</v>
      </c>
      <c r="C39" s="62" t="s">
        <v>98</v>
      </c>
      <c r="D39" s="61" t="s">
        <v>97</v>
      </c>
      <c r="E39" s="49">
        <v>500000.0</v>
      </c>
    </row>
    <row r="40" ht="14.25" customHeight="1">
      <c r="B40" s="82">
        <v>27.0</v>
      </c>
      <c r="C40" s="62" t="s">
        <v>101</v>
      </c>
      <c r="D40" s="61" t="s">
        <v>45</v>
      </c>
      <c r="E40" s="49">
        <v>230000.0</v>
      </c>
    </row>
    <row r="41" ht="14.25" customHeight="1">
      <c r="B41" s="83" t="s">
        <v>103</v>
      </c>
      <c r="C41" s="29" t="s">
        <v>104</v>
      </c>
      <c r="D41" s="31"/>
      <c r="E41" s="32"/>
    </row>
    <row r="42" ht="14.25" customHeight="1">
      <c r="B42" s="36">
        <v>1.0</v>
      </c>
      <c r="C42" s="46" t="s">
        <v>109</v>
      </c>
      <c r="D42" s="61" t="s">
        <v>106</v>
      </c>
      <c r="E42" s="49">
        <v>315000.0</v>
      </c>
    </row>
    <row r="43" ht="14.25" customHeight="1">
      <c r="B43" s="36">
        <v>2.0</v>
      </c>
      <c r="C43" s="46" t="s">
        <v>105</v>
      </c>
      <c r="D43" s="61" t="s">
        <v>106</v>
      </c>
      <c r="E43" s="49">
        <v>460390.0</v>
      </c>
    </row>
    <row r="44" ht="14.25" customHeight="1">
      <c r="B44" s="36">
        <v>3.0</v>
      </c>
      <c r="C44" s="46" t="s">
        <v>113</v>
      </c>
      <c r="D44" s="61" t="s">
        <v>108</v>
      </c>
      <c r="E44" s="49">
        <v>510800.0</v>
      </c>
    </row>
    <row r="45" ht="14.25" customHeight="1">
      <c r="B45" s="36">
        <v>4.0</v>
      </c>
      <c r="C45" s="46" t="s">
        <v>114</v>
      </c>
      <c r="D45" s="61" t="s">
        <v>106</v>
      </c>
      <c r="E45" s="49">
        <v>400000.0</v>
      </c>
    </row>
    <row r="46" ht="14.25" customHeight="1">
      <c r="B46" s="36">
        <v>5.0</v>
      </c>
      <c r="C46" s="46" t="s">
        <v>117</v>
      </c>
      <c r="D46" s="61" t="s">
        <v>106</v>
      </c>
      <c r="E46" s="49">
        <v>4000.0</v>
      </c>
    </row>
    <row r="47" ht="14.25" customHeight="1">
      <c r="B47" s="36">
        <v>6.0</v>
      </c>
      <c r="C47" s="46" t="s">
        <v>118</v>
      </c>
      <c r="D47" s="61" t="s">
        <v>106</v>
      </c>
      <c r="E47" s="49">
        <v>4000.0</v>
      </c>
      <c r="G47" s="90"/>
    </row>
    <row r="48" ht="14.25" customHeight="1">
      <c r="B48" s="36">
        <v>7.0</v>
      </c>
      <c r="C48" s="93" t="s">
        <v>107</v>
      </c>
      <c r="D48" s="61" t="s">
        <v>108</v>
      </c>
      <c r="E48" s="49">
        <v>256880.0</v>
      </c>
      <c r="G48" s="90"/>
    </row>
    <row r="49" ht="14.25" customHeight="1">
      <c r="B49" s="36">
        <v>8.0</v>
      </c>
      <c r="C49" s="46" t="s">
        <v>122</v>
      </c>
      <c r="D49" s="61" t="s">
        <v>108</v>
      </c>
      <c r="E49" s="49">
        <v>281950.0</v>
      </c>
    </row>
    <row r="50" ht="14.25" customHeight="1">
      <c r="B50" s="36">
        <v>9.0</v>
      </c>
      <c r="C50" s="46" t="s">
        <v>123</v>
      </c>
      <c r="D50" s="61" t="s">
        <v>108</v>
      </c>
      <c r="E50" s="49">
        <v>613597.22</v>
      </c>
    </row>
    <row r="51" ht="14.25" customHeight="1">
      <c r="B51" s="36">
        <v>10.0</v>
      </c>
      <c r="C51" s="46" t="s">
        <v>125</v>
      </c>
      <c r="D51" s="61" t="s">
        <v>108</v>
      </c>
      <c r="E51" s="49">
        <v>472025.97</v>
      </c>
    </row>
    <row r="52" ht="14.25" customHeight="1">
      <c r="B52" s="99">
        <v>11.0</v>
      </c>
      <c r="C52" s="52" t="s">
        <v>127</v>
      </c>
      <c r="D52" s="82" t="s">
        <v>108</v>
      </c>
      <c r="E52" s="55">
        <v>441660.0</v>
      </c>
    </row>
    <row r="53" ht="14.25" customHeight="1">
      <c r="B53" s="100" t="s">
        <v>129</v>
      </c>
      <c r="C53" s="102" t="s">
        <v>131</v>
      </c>
      <c r="D53" s="104"/>
      <c r="E53" s="105"/>
    </row>
    <row r="54" ht="14.25" customHeight="1">
      <c r="B54" s="108">
        <v>1.0</v>
      </c>
      <c r="C54" s="40" t="s">
        <v>134</v>
      </c>
      <c r="D54" s="58">
        <v>1.0</v>
      </c>
      <c r="E54" s="109">
        <v>3000000.0</v>
      </c>
    </row>
    <row r="55" ht="14.25" customHeight="1">
      <c r="B55" s="36">
        <v>2.0</v>
      </c>
      <c r="C55" s="46" t="s">
        <v>137</v>
      </c>
      <c r="D55" s="61">
        <v>1.0</v>
      </c>
      <c r="E55" s="111">
        <v>1500000.0</v>
      </c>
    </row>
    <row r="56" ht="14.25" customHeight="1">
      <c r="B56" s="36">
        <v>3.0</v>
      </c>
      <c r="C56" s="46" t="s">
        <v>139</v>
      </c>
      <c r="D56" s="61">
        <v>1.0</v>
      </c>
      <c r="E56" s="111">
        <v>2515232.0</v>
      </c>
    </row>
    <row r="57" ht="14.25" customHeight="1">
      <c r="B57" s="36">
        <v>4.0</v>
      </c>
      <c r="C57" s="46" t="s">
        <v>141</v>
      </c>
      <c r="D57" s="61">
        <v>1.0</v>
      </c>
      <c r="E57" s="111">
        <v>7500000.0</v>
      </c>
    </row>
    <row r="58" ht="14.25" customHeight="1">
      <c r="B58" s="36">
        <v>5.0</v>
      </c>
      <c r="C58" s="46" t="s">
        <v>142</v>
      </c>
      <c r="D58" s="61">
        <v>1.0</v>
      </c>
      <c r="E58" s="111">
        <v>3000000.0</v>
      </c>
    </row>
    <row r="59" ht="14.25" customHeight="1">
      <c r="B59" s="36">
        <v>6.0</v>
      </c>
      <c r="C59" s="46" t="s">
        <v>143</v>
      </c>
      <c r="D59" s="61">
        <v>1.0</v>
      </c>
      <c r="E59" s="111">
        <v>6600000.0</v>
      </c>
    </row>
    <row r="60" ht="14.25" customHeight="1">
      <c r="B60" s="36">
        <v>7.0</v>
      </c>
      <c r="C60" s="46" t="s">
        <v>144</v>
      </c>
      <c r="D60" s="61">
        <v>1.0</v>
      </c>
      <c r="E60" s="111">
        <v>2.5E7</v>
      </c>
    </row>
    <row r="61" ht="14.25" customHeight="1">
      <c r="B61" s="36">
        <v>8.0</v>
      </c>
      <c r="C61" s="46" t="s">
        <v>146</v>
      </c>
      <c r="D61" s="61">
        <v>1.0</v>
      </c>
      <c r="E61" s="111">
        <v>2.0E7</v>
      </c>
    </row>
    <row r="62" ht="14.25" customHeight="1">
      <c r="B62" s="36">
        <v>9.0</v>
      </c>
      <c r="C62" s="46" t="s">
        <v>148</v>
      </c>
      <c r="D62" s="61">
        <v>1.0</v>
      </c>
      <c r="E62" s="111">
        <v>8.0E7</v>
      </c>
    </row>
    <row r="63" ht="14.25" customHeight="1">
      <c r="B63" s="36">
        <v>10.0</v>
      </c>
      <c r="C63" s="46" t="s">
        <v>150</v>
      </c>
      <c r="D63" s="61">
        <v>1.0</v>
      </c>
      <c r="E63" s="111">
        <v>1.2E7</v>
      </c>
    </row>
    <row r="64" ht="14.25" customHeight="1">
      <c r="B64" s="36">
        <v>11.0</v>
      </c>
      <c r="C64" s="46" t="s">
        <v>152</v>
      </c>
      <c r="D64" s="61">
        <v>1.0</v>
      </c>
      <c r="E64" s="111">
        <v>5.0E7</v>
      </c>
    </row>
    <row r="65" ht="14.25" customHeight="1">
      <c r="B65" s="36">
        <v>12.0</v>
      </c>
      <c r="C65" s="46" t="s">
        <v>154</v>
      </c>
      <c r="D65" s="61">
        <v>1.0</v>
      </c>
      <c r="E65" s="111">
        <v>1.6E8</v>
      </c>
    </row>
    <row r="66" ht="14.25" customHeight="1">
      <c r="B66" s="36">
        <v>13.0</v>
      </c>
      <c r="C66" s="46" t="s">
        <v>156</v>
      </c>
      <c r="D66" s="61">
        <v>1.0</v>
      </c>
      <c r="E66" s="111">
        <v>1.0E7</v>
      </c>
    </row>
    <row r="67" ht="14.25" customHeight="1">
      <c r="B67" s="36">
        <v>14.0</v>
      </c>
      <c r="C67" s="93" t="s">
        <v>158</v>
      </c>
      <c r="D67" s="61">
        <v>1.0</v>
      </c>
      <c r="E67" s="111">
        <v>2500000.0</v>
      </c>
    </row>
    <row r="68" ht="14.25" customHeight="1">
      <c r="B68" s="36">
        <v>15.0</v>
      </c>
      <c r="C68" s="46" t="s">
        <v>159</v>
      </c>
      <c r="D68" s="61">
        <v>1.0</v>
      </c>
      <c r="E68" s="111">
        <v>550000.0</v>
      </c>
    </row>
    <row r="69" ht="14.25" customHeight="1">
      <c r="B69" s="113">
        <v>16.0</v>
      </c>
      <c r="C69" s="52" t="s">
        <v>162</v>
      </c>
      <c r="D69" s="82">
        <v>1.0</v>
      </c>
      <c r="E69" s="114">
        <v>1500000.0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4:E4"/>
    <mergeCell ref="C13:E13"/>
    <mergeCell ref="C41:E41"/>
    <mergeCell ref="C53:E53"/>
  </mergeCells>
  <printOptions horizontalCentered="1" verticalCentered="1"/>
  <pageMargins bottom="0.3937007874015748" footer="0.0" header="0.0" left="0.7874015748031497" right="0.3937007874015748" top="0.3937007874015748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3.71"/>
    <col customWidth="1" min="3" max="3" width="8.71"/>
    <col customWidth="1" min="4" max="4" width="10.57"/>
    <col customWidth="1" min="5" max="5" width="19.43"/>
    <col customWidth="1" min="6" max="6" width="19.71"/>
  </cols>
  <sheetData>
    <row r="1" ht="14.25" customHeight="1">
      <c r="A1" s="14" t="s">
        <v>10</v>
      </c>
    </row>
    <row r="2" ht="14.25" customHeight="1">
      <c r="A2" s="19" t="s">
        <v>12</v>
      </c>
      <c r="B2" s="1"/>
      <c r="C2" s="24" t="s">
        <v>14</v>
      </c>
    </row>
    <row r="3" ht="14.25" customHeight="1">
      <c r="A3" s="19" t="s">
        <v>16</v>
      </c>
      <c r="B3" s="1"/>
      <c r="C3" s="24" t="s">
        <v>18</v>
      </c>
    </row>
    <row r="4" ht="14.25" customHeight="1">
      <c r="A4" s="19" t="s">
        <v>19</v>
      </c>
      <c r="B4" s="1"/>
      <c r="C4" s="33" t="s">
        <v>20</v>
      </c>
    </row>
    <row r="5" ht="14.25" customHeight="1">
      <c r="A5" s="1"/>
      <c r="B5" s="19"/>
      <c r="C5" s="37"/>
      <c r="D5" s="37"/>
      <c r="E5" s="37"/>
      <c r="F5" s="39"/>
    </row>
    <row r="6" ht="14.25" customHeight="1">
      <c r="A6" s="48" t="s">
        <v>27</v>
      </c>
      <c r="B6" s="31"/>
      <c r="C6" s="31"/>
      <c r="D6" s="31"/>
      <c r="E6" s="31"/>
      <c r="F6" s="32"/>
    </row>
    <row r="7" ht="14.25" customHeight="1">
      <c r="A7" s="50" t="s">
        <v>4</v>
      </c>
      <c r="B7" s="50" t="s">
        <v>32</v>
      </c>
      <c r="C7" s="50" t="s">
        <v>8</v>
      </c>
      <c r="D7" s="50" t="s">
        <v>35</v>
      </c>
      <c r="E7" s="51" t="s">
        <v>39</v>
      </c>
      <c r="F7" s="51" t="s">
        <v>43</v>
      </c>
    </row>
    <row r="8" ht="14.25" customHeight="1">
      <c r="A8" s="12"/>
      <c r="B8" s="12"/>
      <c r="C8" s="12"/>
      <c r="D8" s="12"/>
      <c r="E8" s="12"/>
      <c r="F8" s="12"/>
    </row>
    <row r="9" ht="14.25" customHeight="1">
      <c r="A9" s="57">
        <v>1.0</v>
      </c>
      <c r="B9" s="57">
        <v>2.0</v>
      </c>
      <c r="C9" s="38">
        <v>3.0</v>
      </c>
      <c r="D9" s="38">
        <v>4.0</v>
      </c>
      <c r="E9" s="57">
        <v>5.0</v>
      </c>
      <c r="F9" s="57">
        <v>6.0</v>
      </c>
    </row>
    <row r="10" ht="14.25" customHeight="1">
      <c r="A10" s="63" t="s">
        <v>54</v>
      </c>
      <c r="B10" s="65" t="s">
        <v>56</v>
      </c>
      <c r="C10" s="38"/>
      <c r="D10" s="38"/>
      <c r="E10" s="67"/>
      <c r="F10" s="67"/>
    </row>
    <row r="11" ht="14.25" customHeight="1">
      <c r="A11" s="57">
        <v>1.0</v>
      </c>
      <c r="B11" s="68" t="s">
        <v>23</v>
      </c>
      <c r="C11" s="38" t="s">
        <v>24</v>
      </c>
      <c r="D11" s="69">
        <v>0.2514</v>
      </c>
      <c r="E11" s="67">
        <f>VLOOKUP(B11,RESOURCE!$C$5:$E$69,3,)</f>
        <v>59000</v>
      </c>
      <c r="F11" s="67">
        <f t="shared" ref="F11:F12" si="1">D11*E11</f>
        <v>14832.6</v>
      </c>
    </row>
    <row r="12" ht="14.25" customHeight="1">
      <c r="A12" s="57">
        <v>2.0</v>
      </c>
      <c r="B12" s="68" t="s">
        <v>42</v>
      </c>
      <c r="C12" s="38" t="s">
        <v>24</v>
      </c>
      <c r="D12" s="71">
        <v>0.0251</v>
      </c>
      <c r="E12" s="67">
        <f>VLOOKUP(B12,RESOURCE!$C$5:$E$69,3,)</f>
        <v>80000</v>
      </c>
      <c r="F12" s="67">
        <f t="shared" si="1"/>
        <v>2008</v>
      </c>
    </row>
    <row r="13" ht="14.25" customHeight="1">
      <c r="A13" s="72"/>
      <c r="B13" s="73" t="s">
        <v>83</v>
      </c>
      <c r="C13" s="74"/>
      <c r="D13" s="74"/>
      <c r="E13" s="75"/>
      <c r="F13" s="67">
        <f>SUM(F11:F12)</f>
        <v>16840.6</v>
      </c>
    </row>
    <row r="14" ht="14.25" customHeight="1">
      <c r="A14" s="63" t="s">
        <v>90</v>
      </c>
      <c r="B14" s="65" t="s">
        <v>91</v>
      </c>
      <c r="C14" s="38"/>
      <c r="D14" s="77"/>
      <c r="E14" s="78"/>
      <c r="F14" s="78"/>
    </row>
    <row r="15" ht="14.25" customHeight="1">
      <c r="A15" s="63"/>
      <c r="B15" s="65"/>
      <c r="C15" s="38"/>
      <c r="D15" s="77"/>
      <c r="E15" s="78"/>
      <c r="F15" s="78"/>
    </row>
    <row r="16" ht="14.25" customHeight="1">
      <c r="A16" s="72"/>
      <c r="B16" s="73" t="s">
        <v>95</v>
      </c>
      <c r="C16" s="74"/>
      <c r="D16" s="74"/>
      <c r="E16" s="75"/>
      <c r="F16" s="67"/>
    </row>
    <row r="17" ht="14.25" customHeight="1">
      <c r="A17" s="63" t="s">
        <v>99</v>
      </c>
      <c r="B17" s="65" t="s">
        <v>100</v>
      </c>
      <c r="C17" s="38"/>
      <c r="D17" s="38"/>
      <c r="E17" s="78"/>
      <c r="F17" s="67"/>
    </row>
    <row r="18" ht="14.25" customHeight="1">
      <c r="A18" s="57">
        <v>1.0</v>
      </c>
      <c r="B18" s="84" t="s">
        <v>105</v>
      </c>
      <c r="C18" s="38" t="s">
        <v>106</v>
      </c>
      <c r="D18" s="69">
        <v>0.2074</v>
      </c>
      <c r="E18" s="67"/>
      <c r="F18" s="67"/>
    </row>
    <row r="19" ht="14.25" customHeight="1">
      <c r="A19" s="63">
        <v>2.0</v>
      </c>
      <c r="B19" s="68" t="s">
        <v>107</v>
      </c>
      <c r="C19" s="38" t="s">
        <v>108</v>
      </c>
      <c r="D19" s="69">
        <v>0.3286</v>
      </c>
      <c r="E19" s="67"/>
      <c r="F19" s="67"/>
    </row>
    <row r="20" ht="14.25" customHeight="1">
      <c r="A20" s="72"/>
      <c r="B20" s="73" t="s">
        <v>111</v>
      </c>
      <c r="C20" s="74"/>
      <c r="D20" s="74"/>
      <c r="E20" s="75"/>
      <c r="F20" s="67"/>
    </row>
    <row r="21" ht="14.25" customHeight="1">
      <c r="A21" s="57" t="s">
        <v>115</v>
      </c>
      <c r="B21" s="68" t="s">
        <v>116</v>
      </c>
      <c r="C21" s="38"/>
      <c r="D21" s="38"/>
      <c r="E21" s="88"/>
      <c r="F21" s="67"/>
    </row>
    <row r="22" ht="14.25" customHeight="1">
      <c r="A22" s="57" t="s">
        <v>119</v>
      </c>
      <c r="B22" s="92" t="s">
        <v>120</v>
      </c>
      <c r="C22" s="38"/>
      <c r="D22" s="95">
        <v>0.15</v>
      </c>
      <c r="E22" s="96"/>
      <c r="F22" s="67"/>
    </row>
    <row r="23" ht="14.25" customHeight="1">
      <c r="A23" s="63" t="s">
        <v>124</v>
      </c>
      <c r="B23" s="101" t="s">
        <v>130</v>
      </c>
      <c r="C23" s="103"/>
      <c r="D23" s="103"/>
      <c r="E23" s="106"/>
      <c r="F23" s="107"/>
    </row>
    <row r="24" ht="14.25" customHeight="1">
      <c r="A24" s="63"/>
      <c r="B24" s="101" t="s">
        <v>135</v>
      </c>
      <c r="C24" s="103"/>
      <c r="D24" s="103"/>
      <c r="E24" s="106"/>
      <c r="F24" s="107"/>
    </row>
    <row r="25" ht="14.25" customHeight="1">
      <c r="A25" s="1"/>
      <c r="B25" s="1"/>
      <c r="C25" s="110"/>
      <c r="D25" s="110"/>
      <c r="E25" s="39"/>
      <c r="F25" s="39"/>
    </row>
    <row r="26" ht="14.25" customHeight="1">
      <c r="A26" s="48" t="s">
        <v>140</v>
      </c>
      <c r="B26" s="31"/>
      <c r="C26" s="31"/>
      <c r="D26" s="31"/>
      <c r="E26" s="31"/>
      <c r="F26" s="32"/>
    </row>
    <row r="27" ht="14.25" customHeight="1">
      <c r="A27" s="50" t="s">
        <v>4</v>
      </c>
      <c r="B27" s="50" t="s">
        <v>32</v>
      </c>
      <c r="C27" s="50" t="s">
        <v>8</v>
      </c>
      <c r="D27" s="50" t="s">
        <v>35</v>
      </c>
      <c r="E27" s="51" t="s">
        <v>147</v>
      </c>
      <c r="F27" s="51" t="s">
        <v>151</v>
      </c>
    </row>
    <row r="28" ht="14.25" customHeight="1">
      <c r="A28" s="112"/>
      <c r="B28" s="112"/>
      <c r="C28" s="112"/>
      <c r="D28" s="112"/>
      <c r="E28" s="112"/>
      <c r="F28" s="112"/>
    </row>
    <row r="29" ht="14.25" customHeight="1">
      <c r="A29" s="12"/>
      <c r="B29" s="12"/>
      <c r="C29" s="12"/>
      <c r="D29" s="12"/>
      <c r="E29" s="12"/>
      <c r="F29" s="12"/>
    </row>
    <row r="30" ht="14.25" customHeight="1">
      <c r="A30" s="57">
        <v>1.0</v>
      </c>
      <c r="B30" s="57">
        <v>2.0</v>
      </c>
      <c r="C30" s="38">
        <v>3.0</v>
      </c>
      <c r="D30" s="38">
        <v>4.0</v>
      </c>
      <c r="E30" s="57">
        <v>5.0</v>
      </c>
      <c r="F30" s="57">
        <v>6.0</v>
      </c>
    </row>
    <row r="31" ht="14.25" customHeight="1">
      <c r="A31" s="63" t="s">
        <v>54</v>
      </c>
      <c r="B31" s="65" t="s">
        <v>56</v>
      </c>
      <c r="C31" s="38"/>
      <c r="D31" s="115"/>
      <c r="E31" s="78"/>
      <c r="F31" s="78"/>
    </row>
    <row r="32" ht="14.25" customHeight="1">
      <c r="A32" s="57">
        <v>1.0</v>
      </c>
      <c r="B32" s="68" t="s">
        <v>23</v>
      </c>
      <c r="C32" s="38" t="s">
        <v>24</v>
      </c>
      <c r="D32" s="115">
        <v>0.012</v>
      </c>
      <c r="E32" s="67"/>
      <c r="F32" s="116"/>
    </row>
    <row r="33" ht="14.25" customHeight="1">
      <c r="A33" s="57">
        <v>2.0</v>
      </c>
      <c r="B33" s="68" t="s">
        <v>164</v>
      </c>
      <c r="C33" s="38" t="s">
        <v>24</v>
      </c>
      <c r="D33" s="115">
        <v>0.006</v>
      </c>
      <c r="E33" s="67"/>
      <c r="F33" s="116"/>
    </row>
    <row r="34" ht="14.25" customHeight="1">
      <c r="A34" s="57">
        <v>3.0</v>
      </c>
      <c r="B34" s="68" t="s">
        <v>40</v>
      </c>
      <c r="C34" s="38" t="s">
        <v>24</v>
      </c>
      <c r="D34" s="115">
        <v>6.000000000000001E-4</v>
      </c>
      <c r="E34" s="67"/>
      <c r="F34" s="116"/>
    </row>
    <row r="35" ht="14.25" customHeight="1">
      <c r="A35" s="57">
        <v>4.0</v>
      </c>
      <c r="B35" s="68" t="s">
        <v>42</v>
      </c>
      <c r="C35" s="38" t="s">
        <v>24</v>
      </c>
      <c r="D35" s="115">
        <v>0.0012000000000000001</v>
      </c>
      <c r="E35" s="67"/>
      <c r="F35" s="116"/>
    </row>
    <row r="36" ht="14.25" customHeight="1">
      <c r="A36" s="73" t="s">
        <v>83</v>
      </c>
      <c r="B36" s="74"/>
      <c r="C36" s="74"/>
      <c r="D36" s="74"/>
      <c r="E36" s="75"/>
      <c r="F36" s="116"/>
    </row>
    <row r="37" ht="14.25" customHeight="1">
      <c r="A37" s="63" t="s">
        <v>90</v>
      </c>
      <c r="B37" s="65" t="s">
        <v>91</v>
      </c>
      <c r="C37" s="38"/>
      <c r="D37" s="38"/>
      <c r="E37" s="78"/>
      <c r="F37" s="116"/>
    </row>
    <row r="38" ht="14.25" customHeight="1">
      <c r="A38" s="57">
        <v>1.0</v>
      </c>
      <c r="B38" s="59" t="s">
        <v>50</v>
      </c>
      <c r="C38" s="38" t="s">
        <v>169</v>
      </c>
      <c r="D38" s="77">
        <v>0.013</v>
      </c>
      <c r="E38" s="67"/>
      <c r="F38" s="116"/>
    </row>
    <row r="39" ht="14.25" customHeight="1">
      <c r="A39" s="57">
        <v>2.0</v>
      </c>
      <c r="B39" s="68" t="s">
        <v>53</v>
      </c>
      <c r="C39" s="38" t="s">
        <v>170</v>
      </c>
      <c r="D39" s="77">
        <v>0.007</v>
      </c>
      <c r="E39" s="67"/>
      <c r="F39" s="116"/>
    </row>
    <row r="40" ht="14.25" customHeight="1">
      <c r="A40" s="57">
        <v>3.0</v>
      </c>
      <c r="B40" s="68" t="s">
        <v>57</v>
      </c>
      <c r="C40" s="38" t="s">
        <v>58</v>
      </c>
      <c r="D40" s="77">
        <v>0.02</v>
      </c>
      <c r="E40" s="67"/>
      <c r="F40" s="116"/>
    </row>
    <row r="41" ht="14.25" customHeight="1">
      <c r="A41" s="73" t="s">
        <v>95</v>
      </c>
      <c r="B41" s="74"/>
      <c r="C41" s="74"/>
      <c r="D41" s="74"/>
      <c r="E41" s="75"/>
      <c r="F41" s="116"/>
    </row>
    <row r="42" ht="14.25" customHeight="1">
      <c r="A42" s="63" t="s">
        <v>99</v>
      </c>
      <c r="B42" s="65" t="s">
        <v>171</v>
      </c>
      <c r="C42" s="38"/>
      <c r="D42" s="38"/>
      <c r="E42" s="78"/>
      <c r="F42" s="116"/>
    </row>
    <row r="43" ht="14.25" customHeight="1">
      <c r="A43" s="57">
        <v>1.0</v>
      </c>
      <c r="B43" s="68" t="s">
        <v>109</v>
      </c>
      <c r="C43" s="38" t="s">
        <v>106</v>
      </c>
      <c r="D43" s="77">
        <v>0.006</v>
      </c>
      <c r="E43" s="67"/>
      <c r="F43" s="116"/>
    </row>
    <row r="44" ht="14.25" customHeight="1">
      <c r="A44" s="73" t="s">
        <v>111</v>
      </c>
      <c r="B44" s="74"/>
      <c r="C44" s="74"/>
      <c r="D44" s="74"/>
      <c r="E44" s="75"/>
      <c r="F44" s="116"/>
    </row>
    <row r="45" ht="14.25" customHeight="1">
      <c r="A45" s="57" t="s">
        <v>115</v>
      </c>
      <c r="B45" s="68" t="s">
        <v>116</v>
      </c>
      <c r="C45" s="38"/>
      <c r="D45" s="38"/>
      <c r="E45" s="88"/>
      <c r="F45" s="116"/>
    </row>
    <row r="46" ht="14.25" customHeight="1">
      <c r="A46" s="57" t="s">
        <v>119</v>
      </c>
      <c r="B46" s="117" t="s">
        <v>120</v>
      </c>
      <c r="C46" s="75"/>
      <c r="D46" s="118">
        <v>0.15</v>
      </c>
      <c r="E46" s="96" t="s">
        <v>173</v>
      </c>
      <c r="F46" s="116"/>
    </row>
    <row r="47" ht="14.25" customHeight="1">
      <c r="A47" s="63" t="s">
        <v>124</v>
      </c>
      <c r="B47" s="119" t="s">
        <v>175</v>
      </c>
      <c r="C47" s="75"/>
      <c r="D47" s="103"/>
      <c r="E47" s="106"/>
      <c r="F47" s="120"/>
    </row>
    <row r="48" ht="14.25" customHeight="1">
      <c r="A48" s="63"/>
      <c r="B48" s="119" t="s">
        <v>135</v>
      </c>
      <c r="C48" s="75"/>
      <c r="D48" s="103"/>
      <c r="E48" s="106"/>
      <c r="F48" s="120"/>
    </row>
    <row r="49" ht="14.25" customHeight="1">
      <c r="A49" s="1"/>
      <c r="B49" s="1"/>
      <c r="C49" s="110"/>
      <c r="D49" s="110"/>
      <c r="E49" s="39"/>
      <c r="F49" s="39"/>
    </row>
    <row r="50" ht="14.25" customHeight="1">
      <c r="A50" s="48" t="s">
        <v>180</v>
      </c>
      <c r="B50" s="31"/>
      <c r="C50" s="31"/>
      <c r="D50" s="31"/>
      <c r="E50" s="31"/>
      <c r="F50" s="32"/>
    </row>
    <row r="51" ht="14.25" customHeight="1">
      <c r="A51" s="122" t="s">
        <v>4</v>
      </c>
      <c r="B51" s="50" t="s">
        <v>32</v>
      </c>
      <c r="C51" s="50" t="s">
        <v>8</v>
      </c>
      <c r="D51" s="50" t="s">
        <v>35</v>
      </c>
      <c r="E51" s="51" t="s">
        <v>39</v>
      </c>
      <c r="F51" s="123" t="s">
        <v>43</v>
      </c>
    </row>
    <row r="52" ht="14.25" customHeight="1">
      <c r="A52" s="124"/>
      <c r="B52" s="12"/>
      <c r="C52" s="12"/>
      <c r="D52" s="12"/>
      <c r="E52" s="12"/>
      <c r="F52" s="125"/>
    </row>
    <row r="53" ht="14.25" customHeight="1">
      <c r="A53" s="126">
        <v>1.0</v>
      </c>
      <c r="B53" s="57">
        <v>2.0</v>
      </c>
      <c r="C53" s="38">
        <v>3.0</v>
      </c>
      <c r="D53" s="38">
        <v>4.0</v>
      </c>
      <c r="E53" s="57">
        <v>5.0</v>
      </c>
      <c r="F53" s="57">
        <v>6.0</v>
      </c>
    </row>
    <row r="54" ht="14.25" customHeight="1">
      <c r="A54" s="126" t="s">
        <v>54</v>
      </c>
      <c r="B54" s="68" t="s">
        <v>56</v>
      </c>
      <c r="C54" s="38"/>
      <c r="D54" s="38"/>
      <c r="E54" s="78"/>
      <c r="F54" s="128"/>
    </row>
    <row r="55" ht="14.25" customHeight="1">
      <c r="A55" s="126">
        <v>1.0</v>
      </c>
      <c r="B55" s="68" t="s">
        <v>23</v>
      </c>
      <c r="C55" s="38" t="s">
        <v>24</v>
      </c>
      <c r="D55" s="54">
        <v>0.2</v>
      </c>
      <c r="E55" s="67"/>
      <c r="F55" s="128"/>
    </row>
    <row r="56" ht="14.25" customHeight="1">
      <c r="A56" s="126">
        <v>2.0</v>
      </c>
      <c r="B56" s="68" t="s">
        <v>190</v>
      </c>
      <c r="C56" s="38" t="s">
        <v>24</v>
      </c>
      <c r="D56" s="54">
        <v>0.1</v>
      </c>
      <c r="E56" s="67"/>
      <c r="F56" s="128"/>
    </row>
    <row r="57" ht="14.25" customHeight="1">
      <c r="A57" s="126">
        <v>3.0</v>
      </c>
      <c r="B57" s="46" t="s">
        <v>33</v>
      </c>
      <c r="C57" s="38" t="s">
        <v>24</v>
      </c>
      <c r="D57" s="54">
        <v>0.1</v>
      </c>
      <c r="E57" s="67"/>
      <c r="F57" s="128"/>
    </row>
    <row r="58" ht="14.25" customHeight="1">
      <c r="A58" s="126">
        <v>3.0</v>
      </c>
      <c r="B58" s="68" t="s">
        <v>42</v>
      </c>
      <c r="C58" s="38" t="s">
        <v>24</v>
      </c>
      <c r="D58" s="54">
        <v>0.02</v>
      </c>
      <c r="E58" s="67"/>
      <c r="F58" s="128"/>
    </row>
    <row r="59" ht="14.25" customHeight="1">
      <c r="A59" s="133" t="s">
        <v>83</v>
      </c>
      <c r="B59" s="74"/>
      <c r="C59" s="74"/>
      <c r="D59" s="74"/>
      <c r="E59" s="75"/>
      <c r="F59" s="128"/>
    </row>
    <row r="60" ht="14.25" customHeight="1">
      <c r="A60" s="126" t="s">
        <v>90</v>
      </c>
      <c r="B60" s="68" t="s">
        <v>91</v>
      </c>
      <c r="C60" s="38"/>
      <c r="D60" s="38"/>
      <c r="E60" s="78"/>
      <c r="F60" s="128"/>
    </row>
    <row r="61" ht="14.25" customHeight="1">
      <c r="A61" s="134">
        <v>1.0</v>
      </c>
      <c r="B61" s="62" t="s">
        <v>62</v>
      </c>
      <c r="C61" s="38" t="s">
        <v>192</v>
      </c>
      <c r="D61" s="77">
        <v>1.2</v>
      </c>
      <c r="E61" s="67"/>
      <c r="F61" s="135"/>
    </row>
    <row r="62" ht="14.25" customHeight="1">
      <c r="A62" s="134">
        <v>2.0</v>
      </c>
      <c r="B62" s="62" t="s">
        <v>65</v>
      </c>
      <c r="C62" s="64" t="s">
        <v>58</v>
      </c>
      <c r="D62" s="77">
        <v>13.5</v>
      </c>
      <c r="E62" s="67"/>
      <c r="F62" s="128"/>
    </row>
    <row r="63" ht="14.25" customHeight="1">
      <c r="A63" s="134">
        <v>3.0</v>
      </c>
      <c r="B63" s="136" t="s">
        <v>67</v>
      </c>
      <c r="C63" s="64" t="s">
        <v>58</v>
      </c>
      <c r="D63" s="77">
        <v>0.3</v>
      </c>
      <c r="E63" s="67"/>
      <c r="F63" s="128"/>
    </row>
    <row r="64" ht="14.25" customHeight="1">
      <c r="A64" s="134">
        <v>4.0</v>
      </c>
      <c r="B64" s="136" t="s">
        <v>69</v>
      </c>
      <c r="C64" s="64" t="s">
        <v>193</v>
      </c>
      <c r="D64" s="77">
        <v>0.15</v>
      </c>
      <c r="E64" s="67"/>
      <c r="F64" s="128"/>
    </row>
    <row r="65" ht="14.25" customHeight="1">
      <c r="A65" s="133" t="s">
        <v>95</v>
      </c>
      <c r="B65" s="74"/>
      <c r="C65" s="74"/>
      <c r="D65" s="74"/>
      <c r="E65" s="75"/>
      <c r="F65" s="128"/>
    </row>
    <row r="66" ht="14.25" customHeight="1">
      <c r="A66" s="126" t="s">
        <v>99</v>
      </c>
      <c r="B66" s="68" t="s">
        <v>100</v>
      </c>
      <c r="C66" s="38"/>
      <c r="D66" s="38"/>
      <c r="E66" s="78"/>
      <c r="F66" s="128"/>
    </row>
    <row r="67" ht="14.25" customHeight="1">
      <c r="A67" s="133" t="s">
        <v>111</v>
      </c>
      <c r="B67" s="74"/>
      <c r="C67" s="74"/>
      <c r="D67" s="74"/>
      <c r="E67" s="75"/>
      <c r="F67" s="128"/>
    </row>
    <row r="68" ht="14.25" customHeight="1">
      <c r="A68" s="126" t="s">
        <v>115</v>
      </c>
      <c r="B68" s="68" t="s">
        <v>194</v>
      </c>
      <c r="C68" s="38"/>
      <c r="D68" s="38"/>
      <c r="E68" s="88"/>
      <c r="F68" s="128"/>
    </row>
    <row r="69" ht="14.25" customHeight="1">
      <c r="A69" s="126" t="s">
        <v>119</v>
      </c>
      <c r="B69" s="117" t="s">
        <v>195</v>
      </c>
      <c r="C69" s="75"/>
      <c r="D69" s="95">
        <v>0.15</v>
      </c>
      <c r="E69" s="96" t="s">
        <v>173</v>
      </c>
      <c r="F69" s="128"/>
    </row>
    <row r="70" ht="14.25" customHeight="1">
      <c r="A70" s="137" t="s">
        <v>124</v>
      </c>
      <c r="B70" s="119" t="s">
        <v>196</v>
      </c>
      <c r="C70" s="75"/>
      <c r="D70" s="103"/>
      <c r="E70" s="106"/>
      <c r="F70" s="138"/>
    </row>
    <row r="71" ht="14.25" customHeight="1">
      <c r="A71" s="139"/>
      <c r="B71" s="140" t="s">
        <v>135</v>
      </c>
      <c r="C71" s="141"/>
      <c r="D71" s="142"/>
      <c r="E71" s="143"/>
      <c r="F71" s="144"/>
    </row>
    <row r="72" ht="14.25" customHeight="1">
      <c r="A72" s="14"/>
      <c r="B72" s="145"/>
      <c r="C72" s="146"/>
      <c r="D72" s="146"/>
      <c r="E72" s="147"/>
      <c r="F72" s="148"/>
    </row>
    <row r="73" ht="14.25" customHeight="1">
      <c r="A73" s="48" t="s">
        <v>197</v>
      </c>
      <c r="B73" s="31"/>
      <c r="C73" s="31"/>
      <c r="D73" s="31"/>
      <c r="E73" s="31"/>
      <c r="F73" s="32"/>
    </row>
    <row r="74" ht="14.25" customHeight="1">
      <c r="A74" s="122" t="s">
        <v>4</v>
      </c>
      <c r="B74" s="50" t="s">
        <v>32</v>
      </c>
      <c r="C74" s="50" t="s">
        <v>8</v>
      </c>
      <c r="D74" s="50" t="s">
        <v>35</v>
      </c>
      <c r="E74" s="51" t="s">
        <v>39</v>
      </c>
      <c r="F74" s="123" t="s">
        <v>43</v>
      </c>
    </row>
    <row r="75" ht="14.25" customHeight="1">
      <c r="A75" s="124"/>
      <c r="B75" s="12"/>
      <c r="C75" s="12"/>
      <c r="D75" s="12"/>
      <c r="E75" s="12"/>
      <c r="F75" s="125"/>
    </row>
    <row r="76" ht="14.25" customHeight="1">
      <c r="A76" s="126">
        <v>1.0</v>
      </c>
      <c r="B76" s="57">
        <v>2.0</v>
      </c>
      <c r="C76" s="38">
        <v>3.0</v>
      </c>
      <c r="D76" s="38">
        <v>4.0</v>
      </c>
      <c r="E76" s="149">
        <v>5.0</v>
      </c>
      <c r="F76" s="150">
        <v>6.0</v>
      </c>
    </row>
    <row r="77" ht="14.25" customHeight="1">
      <c r="A77" s="137" t="s">
        <v>54</v>
      </c>
      <c r="B77" s="65" t="s">
        <v>56</v>
      </c>
      <c r="C77" s="38"/>
      <c r="D77" s="38"/>
      <c r="E77" s="78"/>
      <c r="F77" s="151"/>
    </row>
    <row r="78" ht="14.25" customHeight="1">
      <c r="A78" s="126">
        <v>1.0</v>
      </c>
      <c r="B78" s="68" t="s">
        <v>23</v>
      </c>
      <c r="C78" s="38" t="s">
        <v>24</v>
      </c>
      <c r="D78" s="69">
        <v>0.2505</v>
      </c>
      <c r="E78" s="67"/>
      <c r="F78" s="128"/>
    </row>
    <row r="79" ht="14.25" customHeight="1">
      <c r="A79" s="126">
        <v>2.0</v>
      </c>
      <c r="B79" s="68" t="s">
        <v>42</v>
      </c>
      <c r="C79" s="38" t="s">
        <v>24</v>
      </c>
      <c r="D79" s="69">
        <f>+D78/20</f>
        <v>0.012525</v>
      </c>
      <c r="E79" s="67"/>
      <c r="F79" s="128"/>
    </row>
    <row r="80" ht="14.25" customHeight="1">
      <c r="A80" s="133" t="s">
        <v>83</v>
      </c>
      <c r="B80" s="74"/>
      <c r="C80" s="74"/>
      <c r="D80" s="74"/>
      <c r="E80" s="75"/>
      <c r="F80" s="128"/>
    </row>
    <row r="81" ht="14.25" customHeight="1">
      <c r="A81" s="137" t="s">
        <v>90</v>
      </c>
      <c r="B81" s="65" t="s">
        <v>91</v>
      </c>
      <c r="C81" s="38"/>
      <c r="D81" s="38"/>
      <c r="E81" s="78"/>
      <c r="F81" s="128"/>
    </row>
    <row r="82" ht="14.25" customHeight="1">
      <c r="A82" s="133" t="s">
        <v>95</v>
      </c>
      <c r="B82" s="74"/>
      <c r="C82" s="74"/>
      <c r="D82" s="74"/>
      <c r="E82" s="75"/>
      <c r="F82" s="128"/>
    </row>
    <row r="83" ht="14.25" customHeight="1">
      <c r="A83" s="137" t="s">
        <v>99</v>
      </c>
      <c r="B83" s="65" t="s">
        <v>100</v>
      </c>
      <c r="C83" s="38"/>
      <c r="D83" s="38"/>
      <c r="E83" s="78"/>
      <c r="F83" s="128"/>
    </row>
    <row r="84" ht="14.25" customHeight="1">
      <c r="A84" s="133" t="s">
        <v>111</v>
      </c>
      <c r="B84" s="74"/>
      <c r="C84" s="74"/>
      <c r="D84" s="74"/>
      <c r="E84" s="75"/>
      <c r="F84" s="128"/>
    </row>
    <row r="85" ht="14.25" customHeight="1">
      <c r="A85" s="152"/>
      <c r="B85" s="72"/>
      <c r="C85" s="38"/>
      <c r="D85" s="38"/>
      <c r="E85" s="88"/>
      <c r="F85" s="128"/>
    </row>
    <row r="86" ht="14.25" customHeight="1">
      <c r="A86" s="126" t="s">
        <v>115</v>
      </c>
      <c r="B86" s="68" t="s">
        <v>116</v>
      </c>
      <c r="C86" s="38"/>
      <c r="D86" s="38"/>
      <c r="E86" s="88"/>
      <c r="F86" s="128"/>
    </row>
    <row r="87" ht="14.25" customHeight="1">
      <c r="A87" s="126" t="s">
        <v>119</v>
      </c>
      <c r="B87" s="68" t="s">
        <v>120</v>
      </c>
      <c r="C87" s="38"/>
      <c r="D87" s="95">
        <v>0.15</v>
      </c>
      <c r="E87" s="96" t="s">
        <v>173</v>
      </c>
      <c r="F87" s="128"/>
    </row>
    <row r="88" ht="14.25" customHeight="1">
      <c r="A88" s="137" t="s">
        <v>124</v>
      </c>
      <c r="B88" s="65" t="s">
        <v>198</v>
      </c>
      <c r="C88" s="103"/>
      <c r="D88" s="103"/>
      <c r="E88" s="106"/>
      <c r="F88" s="138"/>
    </row>
    <row r="89" ht="14.25" customHeight="1">
      <c r="A89" s="139"/>
      <c r="B89" s="140" t="s">
        <v>135</v>
      </c>
      <c r="C89" s="141"/>
      <c r="D89" s="142"/>
      <c r="E89" s="143"/>
      <c r="F89" s="144"/>
    </row>
    <row r="90" ht="14.25" customHeight="1">
      <c r="A90" s="1"/>
      <c r="B90" s="1"/>
      <c r="C90" s="110"/>
      <c r="D90" s="110"/>
      <c r="E90" s="39"/>
      <c r="F90" s="39"/>
    </row>
    <row r="91" ht="14.25" customHeight="1">
      <c r="A91" s="48" t="s">
        <v>199</v>
      </c>
      <c r="B91" s="31"/>
      <c r="C91" s="31"/>
      <c r="D91" s="31"/>
      <c r="E91" s="31"/>
      <c r="F91" s="32"/>
    </row>
    <row r="92" ht="14.25" customHeight="1">
      <c r="A92" s="122" t="s">
        <v>4</v>
      </c>
      <c r="B92" s="50" t="s">
        <v>32</v>
      </c>
      <c r="C92" s="50" t="s">
        <v>8</v>
      </c>
      <c r="D92" s="50" t="s">
        <v>35</v>
      </c>
      <c r="E92" s="51" t="s">
        <v>39</v>
      </c>
      <c r="F92" s="123" t="s">
        <v>43</v>
      </c>
    </row>
    <row r="93" ht="14.25" customHeight="1">
      <c r="A93" s="124"/>
      <c r="B93" s="12"/>
      <c r="C93" s="12"/>
      <c r="D93" s="12"/>
      <c r="E93" s="12"/>
      <c r="F93" s="125"/>
    </row>
    <row r="94" ht="14.25" customHeight="1">
      <c r="A94" s="126">
        <v>1.0</v>
      </c>
      <c r="B94" s="57">
        <v>2.0</v>
      </c>
      <c r="C94" s="38">
        <v>3.0</v>
      </c>
      <c r="D94" s="38">
        <v>4.0</v>
      </c>
      <c r="E94" s="149">
        <v>5.0</v>
      </c>
      <c r="F94" s="150">
        <v>6.0</v>
      </c>
    </row>
    <row r="95" ht="14.25" customHeight="1">
      <c r="A95" s="137" t="s">
        <v>54</v>
      </c>
      <c r="B95" s="65" t="s">
        <v>56</v>
      </c>
      <c r="C95" s="38"/>
      <c r="D95" s="38"/>
      <c r="E95" s="78"/>
      <c r="F95" s="151"/>
    </row>
    <row r="96" ht="14.25" customHeight="1">
      <c r="A96" s="126">
        <v>1.0</v>
      </c>
      <c r="B96" s="68" t="s">
        <v>23</v>
      </c>
      <c r="C96" s="38" t="s">
        <v>24</v>
      </c>
      <c r="D96" s="77">
        <v>0.0161</v>
      </c>
      <c r="E96" s="67"/>
      <c r="F96" s="128"/>
    </row>
    <row r="97" ht="14.25" customHeight="1">
      <c r="A97" s="126">
        <v>2.0</v>
      </c>
      <c r="B97" s="68" t="s">
        <v>25</v>
      </c>
      <c r="C97" s="38" t="s">
        <v>24</v>
      </c>
      <c r="D97" s="77">
        <v>0.004</v>
      </c>
      <c r="E97" s="67"/>
      <c r="F97" s="128"/>
    </row>
    <row r="98" ht="14.25" customHeight="1">
      <c r="A98" s="126">
        <v>3.0</v>
      </c>
      <c r="B98" s="68" t="s">
        <v>42</v>
      </c>
      <c r="C98" s="38" t="s">
        <v>24</v>
      </c>
      <c r="D98" s="77">
        <v>0.0016</v>
      </c>
      <c r="E98" s="67"/>
      <c r="F98" s="128"/>
    </row>
    <row r="99" ht="14.25" customHeight="1">
      <c r="A99" s="133" t="s">
        <v>83</v>
      </c>
      <c r="B99" s="74"/>
      <c r="C99" s="74"/>
      <c r="D99" s="74"/>
      <c r="E99" s="75"/>
      <c r="F99" s="138"/>
    </row>
    <row r="100" ht="14.25" customHeight="1">
      <c r="A100" s="137" t="s">
        <v>90</v>
      </c>
      <c r="B100" s="65" t="s">
        <v>91</v>
      </c>
      <c r="C100" s="38"/>
      <c r="D100" s="77"/>
      <c r="E100" s="78"/>
      <c r="F100" s="128"/>
    </row>
    <row r="101" ht="14.25" customHeight="1">
      <c r="A101" s="126">
        <v>1.0</v>
      </c>
      <c r="B101" s="68"/>
      <c r="C101" s="64"/>
      <c r="D101" s="77"/>
      <c r="E101" s="153"/>
      <c r="F101" s="128"/>
    </row>
    <row r="102" ht="14.25" customHeight="1">
      <c r="A102" s="133" t="s">
        <v>95</v>
      </c>
      <c r="B102" s="74"/>
      <c r="C102" s="74"/>
      <c r="D102" s="74"/>
      <c r="E102" s="75"/>
      <c r="F102" s="138"/>
    </row>
    <row r="103" ht="14.25" customHeight="1">
      <c r="A103" s="137" t="s">
        <v>99</v>
      </c>
      <c r="B103" s="65" t="s">
        <v>100</v>
      </c>
      <c r="C103" s="38"/>
      <c r="D103" s="38"/>
      <c r="E103" s="78"/>
      <c r="F103" s="128"/>
    </row>
    <row r="104" ht="14.25" customHeight="1">
      <c r="A104" s="126">
        <v>1.0</v>
      </c>
      <c r="B104" s="68" t="s">
        <v>127</v>
      </c>
      <c r="C104" s="38" t="s">
        <v>200</v>
      </c>
      <c r="D104" s="38">
        <v>0.1507</v>
      </c>
      <c r="E104" s="67"/>
      <c r="F104" s="128"/>
    </row>
    <row r="105" ht="14.25" customHeight="1">
      <c r="A105" s="133" t="s">
        <v>111</v>
      </c>
      <c r="B105" s="74"/>
      <c r="C105" s="74"/>
      <c r="D105" s="74"/>
      <c r="E105" s="75"/>
      <c r="F105" s="138"/>
    </row>
    <row r="106" ht="14.25" customHeight="1">
      <c r="A106" s="152"/>
      <c r="B106" s="72"/>
      <c r="C106" s="38"/>
      <c r="D106" s="38"/>
      <c r="E106" s="88"/>
      <c r="F106" s="128"/>
    </row>
    <row r="107" ht="14.25" customHeight="1">
      <c r="A107" s="126" t="s">
        <v>115</v>
      </c>
      <c r="B107" s="68" t="s">
        <v>116</v>
      </c>
      <c r="C107" s="38"/>
      <c r="D107" s="38"/>
      <c r="E107" s="88"/>
      <c r="F107" s="128"/>
    </row>
    <row r="108" ht="14.25" customHeight="1">
      <c r="A108" s="126" t="s">
        <v>119</v>
      </c>
      <c r="B108" s="117" t="s">
        <v>120</v>
      </c>
      <c r="C108" s="75"/>
      <c r="D108" s="95">
        <f>D87</f>
        <v>0.15</v>
      </c>
      <c r="E108" s="96" t="s">
        <v>173</v>
      </c>
      <c r="F108" s="128"/>
    </row>
    <row r="109" ht="14.25" customHeight="1">
      <c r="A109" s="137" t="s">
        <v>124</v>
      </c>
      <c r="B109" s="65" t="s">
        <v>201</v>
      </c>
      <c r="C109" s="103"/>
      <c r="D109" s="103"/>
      <c r="E109" s="106"/>
      <c r="F109" s="138"/>
    </row>
    <row r="110" ht="14.25" customHeight="1">
      <c r="A110" s="139"/>
      <c r="B110" s="140" t="s">
        <v>135</v>
      </c>
      <c r="C110" s="141"/>
      <c r="D110" s="142"/>
      <c r="E110" s="143"/>
      <c r="F110" s="144"/>
    </row>
    <row r="111" ht="14.25" customHeight="1">
      <c r="A111" s="1"/>
      <c r="B111" s="1"/>
      <c r="C111" s="110"/>
      <c r="D111" s="110"/>
      <c r="E111" s="1"/>
      <c r="F111" s="1"/>
    </row>
    <row r="112" ht="14.25" customHeight="1">
      <c r="A112" s="48" t="s">
        <v>202</v>
      </c>
      <c r="B112" s="31"/>
      <c r="C112" s="31"/>
      <c r="D112" s="31"/>
      <c r="E112" s="31"/>
      <c r="F112" s="32"/>
    </row>
    <row r="113" ht="14.25" customHeight="1">
      <c r="A113" s="122" t="s">
        <v>4</v>
      </c>
      <c r="B113" s="50" t="s">
        <v>32</v>
      </c>
      <c r="C113" s="50" t="s">
        <v>8</v>
      </c>
      <c r="D113" s="50" t="s">
        <v>35</v>
      </c>
      <c r="E113" s="51" t="s">
        <v>39</v>
      </c>
      <c r="F113" s="123" t="s">
        <v>43</v>
      </c>
    </row>
    <row r="114" ht="14.25" customHeight="1">
      <c r="A114" s="124"/>
      <c r="B114" s="12"/>
      <c r="C114" s="12"/>
      <c r="D114" s="12"/>
      <c r="E114" s="12"/>
      <c r="F114" s="125"/>
    </row>
    <row r="115" ht="14.25" customHeight="1">
      <c r="A115" s="126">
        <v>1.0</v>
      </c>
      <c r="B115" s="57">
        <v>2.0</v>
      </c>
      <c r="C115" s="38">
        <v>3.0</v>
      </c>
      <c r="D115" s="38">
        <v>4.0</v>
      </c>
      <c r="E115" s="149">
        <v>5.0</v>
      </c>
      <c r="F115" s="150">
        <v>6.0</v>
      </c>
    </row>
    <row r="116" ht="14.25" customHeight="1">
      <c r="A116" s="137" t="s">
        <v>54</v>
      </c>
      <c r="B116" s="65" t="s">
        <v>56</v>
      </c>
      <c r="C116" s="38"/>
      <c r="D116" s="38"/>
      <c r="E116" s="78"/>
      <c r="F116" s="151"/>
    </row>
    <row r="117" ht="14.25" customHeight="1">
      <c r="A117" s="126">
        <v>1.0</v>
      </c>
      <c r="B117" s="68" t="s">
        <v>23</v>
      </c>
      <c r="C117" s="38" t="s">
        <v>24</v>
      </c>
      <c r="D117" s="77">
        <v>0.6</v>
      </c>
      <c r="E117" s="67"/>
      <c r="F117" s="128"/>
    </row>
    <row r="118" ht="14.25" customHeight="1">
      <c r="A118" s="126">
        <v>2.0</v>
      </c>
      <c r="B118" s="46" t="s">
        <v>33</v>
      </c>
      <c r="C118" s="38" t="s">
        <v>24</v>
      </c>
      <c r="D118" s="77">
        <v>0.3</v>
      </c>
      <c r="E118" s="67"/>
      <c r="F118" s="128"/>
    </row>
    <row r="119" ht="14.25" customHeight="1">
      <c r="A119" s="126">
        <v>3.0</v>
      </c>
      <c r="B119" s="68" t="s">
        <v>42</v>
      </c>
      <c r="C119" s="38" t="s">
        <v>24</v>
      </c>
      <c r="D119" s="77">
        <v>0.05</v>
      </c>
      <c r="E119" s="67"/>
      <c r="F119" s="128"/>
    </row>
    <row r="120" ht="14.25" customHeight="1">
      <c r="A120" s="133" t="s">
        <v>83</v>
      </c>
      <c r="B120" s="74"/>
      <c r="C120" s="74"/>
      <c r="D120" s="74"/>
      <c r="E120" s="75"/>
      <c r="F120" s="138"/>
    </row>
    <row r="121" ht="14.25" customHeight="1">
      <c r="A121" s="137" t="s">
        <v>90</v>
      </c>
      <c r="B121" s="65" t="s">
        <v>91</v>
      </c>
      <c r="C121" s="38"/>
      <c r="D121" s="77"/>
      <c r="E121" s="78"/>
      <c r="F121" s="128"/>
    </row>
    <row r="122" ht="17.25" customHeight="1">
      <c r="A122" s="126">
        <v>1.0</v>
      </c>
      <c r="B122" s="68" t="s">
        <v>71</v>
      </c>
      <c r="C122" s="64" t="s">
        <v>203</v>
      </c>
      <c r="D122" s="77">
        <v>1.2</v>
      </c>
      <c r="E122" s="67"/>
      <c r="F122" s="128"/>
    </row>
    <row r="123" ht="15.0" customHeight="1">
      <c r="A123" s="126">
        <v>2.0</v>
      </c>
      <c r="B123" s="62" t="s">
        <v>72</v>
      </c>
      <c r="C123" s="64" t="s">
        <v>204</v>
      </c>
      <c r="D123" s="77">
        <v>0.48</v>
      </c>
      <c r="E123" s="67"/>
      <c r="F123" s="128"/>
    </row>
    <row r="124" ht="14.25" customHeight="1">
      <c r="A124" s="126">
        <v>3.0</v>
      </c>
      <c r="B124" s="68" t="s">
        <v>205</v>
      </c>
      <c r="C124" s="64" t="s">
        <v>206</v>
      </c>
      <c r="D124" s="77">
        <v>0.875</v>
      </c>
      <c r="E124" s="67"/>
      <c r="F124" s="128"/>
    </row>
    <row r="125" ht="14.25" customHeight="1">
      <c r="A125" s="133" t="s">
        <v>95</v>
      </c>
      <c r="B125" s="74"/>
      <c r="C125" s="74"/>
      <c r="D125" s="74"/>
      <c r="E125" s="75"/>
      <c r="F125" s="138"/>
    </row>
    <row r="126" ht="14.25" customHeight="1">
      <c r="A126" s="137" t="s">
        <v>99</v>
      </c>
      <c r="B126" s="65" t="s">
        <v>100</v>
      </c>
      <c r="C126" s="38"/>
      <c r="D126" s="38"/>
      <c r="E126" s="78"/>
      <c r="F126" s="128"/>
    </row>
    <row r="127" ht="14.25" customHeight="1">
      <c r="A127" s="126">
        <v>1.0</v>
      </c>
      <c r="B127" s="68" t="s">
        <v>114</v>
      </c>
      <c r="C127" s="38" t="s">
        <v>207</v>
      </c>
      <c r="D127" s="38">
        <v>0.005</v>
      </c>
      <c r="E127" s="67"/>
      <c r="F127" s="128"/>
    </row>
    <row r="128" ht="14.25" customHeight="1">
      <c r="A128" s="133" t="s">
        <v>111</v>
      </c>
      <c r="B128" s="74"/>
      <c r="C128" s="74"/>
      <c r="D128" s="74"/>
      <c r="E128" s="75"/>
      <c r="F128" s="138"/>
    </row>
    <row r="129" ht="14.25" customHeight="1">
      <c r="A129" s="152"/>
      <c r="B129" s="72"/>
      <c r="C129" s="38"/>
      <c r="D129" s="38"/>
      <c r="E129" s="88"/>
      <c r="F129" s="128"/>
    </row>
    <row r="130" ht="14.25" customHeight="1">
      <c r="A130" s="126" t="s">
        <v>115</v>
      </c>
      <c r="B130" s="68" t="s">
        <v>116</v>
      </c>
      <c r="C130" s="38"/>
      <c r="D130" s="38"/>
      <c r="E130" s="88"/>
      <c r="F130" s="128"/>
    </row>
    <row r="131" ht="14.25" customHeight="1">
      <c r="A131" s="126" t="s">
        <v>119</v>
      </c>
      <c r="B131" s="117" t="s">
        <v>120</v>
      </c>
      <c r="C131" s="75"/>
      <c r="D131" s="95">
        <v>0.15</v>
      </c>
      <c r="E131" s="96" t="s">
        <v>173</v>
      </c>
      <c r="F131" s="128"/>
    </row>
    <row r="132" ht="14.25" customHeight="1">
      <c r="A132" s="137" t="s">
        <v>124</v>
      </c>
      <c r="B132" s="65" t="s">
        <v>208</v>
      </c>
      <c r="C132" s="103"/>
      <c r="D132" s="103"/>
      <c r="E132" s="106"/>
      <c r="F132" s="138"/>
    </row>
    <row r="133" ht="14.25" customHeight="1">
      <c r="A133" s="139"/>
      <c r="B133" s="140" t="s">
        <v>135</v>
      </c>
      <c r="C133" s="141"/>
      <c r="D133" s="142"/>
      <c r="E133" s="143"/>
      <c r="F133" s="144"/>
    </row>
    <row r="134" ht="14.25" customHeight="1">
      <c r="A134" s="1"/>
      <c r="B134" s="1"/>
      <c r="C134" s="110"/>
      <c r="D134" s="110"/>
      <c r="E134" s="39"/>
      <c r="F134" s="154"/>
    </row>
    <row r="135" ht="14.25" customHeight="1">
      <c r="A135" s="19"/>
      <c r="B135" s="1"/>
      <c r="C135" s="146"/>
      <c r="D135" s="110"/>
      <c r="E135" s="39"/>
      <c r="F135" s="39"/>
    </row>
    <row r="136" ht="14.25" customHeight="1">
      <c r="A136" s="48" t="s">
        <v>209</v>
      </c>
      <c r="B136" s="31"/>
      <c r="C136" s="31"/>
      <c r="D136" s="31"/>
      <c r="E136" s="31"/>
      <c r="F136" s="32"/>
    </row>
    <row r="137" ht="14.25" customHeight="1">
      <c r="A137" s="122" t="s">
        <v>4</v>
      </c>
      <c r="B137" s="50" t="s">
        <v>32</v>
      </c>
      <c r="C137" s="50" t="s">
        <v>8</v>
      </c>
      <c r="D137" s="50" t="s">
        <v>35</v>
      </c>
      <c r="E137" s="51" t="s">
        <v>39</v>
      </c>
      <c r="F137" s="123" t="s">
        <v>43</v>
      </c>
    </row>
    <row r="138" ht="14.25" customHeight="1">
      <c r="A138" s="124"/>
      <c r="B138" s="12"/>
      <c r="C138" s="12"/>
      <c r="D138" s="12"/>
      <c r="E138" s="12"/>
      <c r="F138" s="125"/>
    </row>
    <row r="139" ht="14.25" customHeight="1">
      <c r="A139" s="126">
        <v>1.0</v>
      </c>
      <c r="B139" s="57">
        <v>2.0</v>
      </c>
      <c r="C139" s="38">
        <v>3.0</v>
      </c>
      <c r="D139" s="38">
        <v>4.0</v>
      </c>
      <c r="E139" s="149">
        <v>5.0</v>
      </c>
      <c r="F139" s="150">
        <v>6.0</v>
      </c>
    </row>
    <row r="140" ht="14.25" customHeight="1">
      <c r="A140" s="137" t="s">
        <v>54</v>
      </c>
      <c r="B140" s="65" t="s">
        <v>56</v>
      </c>
      <c r="C140" s="38"/>
      <c r="D140" s="38"/>
      <c r="E140" s="78"/>
      <c r="F140" s="151"/>
    </row>
    <row r="141" ht="14.25" customHeight="1">
      <c r="A141" s="126">
        <v>1.0</v>
      </c>
      <c r="B141" s="68" t="s">
        <v>23</v>
      </c>
      <c r="C141" s="38" t="s">
        <v>24</v>
      </c>
      <c r="D141" s="77">
        <v>0.19</v>
      </c>
      <c r="E141" s="67"/>
      <c r="F141" s="128"/>
    </row>
    <row r="142" ht="14.25" customHeight="1">
      <c r="A142" s="126">
        <v>2.0</v>
      </c>
      <c r="B142" s="46" t="s">
        <v>33</v>
      </c>
      <c r="C142" s="38" t="s">
        <v>24</v>
      </c>
      <c r="D142" s="77">
        <v>0.19</v>
      </c>
      <c r="E142" s="67"/>
      <c r="F142" s="128"/>
    </row>
    <row r="143" ht="14.25" customHeight="1">
      <c r="A143" s="126">
        <v>3.0</v>
      </c>
      <c r="B143" s="68" t="s">
        <v>210</v>
      </c>
      <c r="C143" s="38" t="s">
        <v>24</v>
      </c>
      <c r="D143" s="77">
        <v>0.019</v>
      </c>
      <c r="E143" s="67"/>
      <c r="F143" s="128"/>
    </row>
    <row r="144" ht="14.25" customHeight="1">
      <c r="A144" s="126">
        <v>4.0</v>
      </c>
      <c r="B144" s="68" t="s">
        <v>42</v>
      </c>
      <c r="C144" s="38" t="s">
        <v>24</v>
      </c>
      <c r="D144" s="77">
        <v>0.019</v>
      </c>
      <c r="E144" s="67"/>
      <c r="F144" s="128"/>
    </row>
    <row r="145" ht="14.25" customHeight="1">
      <c r="A145" s="133" t="s">
        <v>83</v>
      </c>
      <c r="B145" s="74"/>
      <c r="C145" s="74"/>
      <c r="D145" s="74"/>
      <c r="E145" s="75"/>
      <c r="F145" s="138"/>
    </row>
    <row r="146" ht="14.25" customHeight="1">
      <c r="A146" s="137" t="s">
        <v>90</v>
      </c>
      <c r="B146" s="65" t="s">
        <v>91</v>
      </c>
      <c r="C146" s="38"/>
      <c r="D146" s="77"/>
      <c r="E146" s="78"/>
      <c r="F146" s="128"/>
    </row>
    <row r="147" ht="14.25" customHeight="1">
      <c r="A147" s="126">
        <v>1.0</v>
      </c>
      <c r="B147" s="68" t="s">
        <v>76</v>
      </c>
      <c r="C147" s="64" t="s">
        <v>211</v>
      </c>
      <c r="D147" s="77">
        <v>0.0385</v>
      </c>
      <c r="E147" s="67"/>
      <c r="F147" s="128"/>
    </row>
    <row r="148" ht="14.25" customHeight="1">
      <c r="A148" s="126">
        <v>2.0</v>
      </c>
      <c r="B148" s="68" t="s">
        <v>77</v>
      </c>
      <c r="C148" s="64" t="s">
        <v>58</v>
      </c>
      <c r="D148" s="77">
        <v>12.96</v>
      </c>
      <c r="E148" s="67"/>
      <c r="F148" s="128"/>
    </row>
    <row r="149" ht="14.25" customHeight="1">
      <c r="A149" s="133" t="s">
        <v>95</v>
      </c>
      <c r="B149" s="74"/>
      <c r="C149" s="74"/>
      <c r="D149" s="74"/>
      <c r="E149" s="75"/>
      <c r="F149" s="138"/>
    </row>
    <row r="150" ht="14.25" customHeight="1">
      <c r="A150" s="137" t="s">
        <v>99</v>
      </c>
      <c r="B150" s="65" t="s">
        <v>100</v>
      </c>
      <c r="C150" s="38"/>
      <c r="D150" s="38"/>
      <c r="E150" s="78"/>
      <c r="F150" s="128"/>
    </row>
    <row r="151" ht="14.25" customHeight="1">
      <c r="A151" s="126">
        <v>1.0</v>
      </c>
      <c r="B151" s="68" t="s">
        <v>114</v>
      </c>
      <c r="C151" s="38" t="s">
        <v>106</v>
      </c>
      <c r="D151" s="38">
        <v>0.005</v>
      </c>
      <c r="E151" s="67"/>
      <c r="F151" s="128"/>
    </row>
    <row r="152" ht="14.25" customHeight="1">
      <c r="A152" s="133" t="s">
        <v>111</v>
      </c>
      <c r="B152" s="74"/>
      <c r="C152" s="74"/>
      <c r="D152" s="74"/>
      <c r="E152" s="75"/>
      <c r="F152" s="138"/>
    </row>
    <row r="153" ht="14.25" customHeight="1">
      <c r="A153" s="152"/>
      <c r="B153" s="72"/>
      <c r="C153" s="38"/>
      <c r="D153" s="38"/>
      <c r="E153" s="88"/>
      <c r="F153" s="128"/>
    </row>
    <row r="154" ht="14.25" customHeight="1">
      <c r="A154" s="126" t="s">
        <v>115</v>
      </c>
      <c r="B154" s="68" t="s">
        <v>116</v>
      </c>
      <c r="C154" s="38"/>
      <c r="D154" s="38"/>
      <c r="E154" s="88"/>
      <c r="F154" s="128"/>
    </row>
    <row r="155" ht="14.25" customHeight="1">
      <c r="A155" s="126" t="s">
        <v>119</v>
      </c>
      <c r="B155" s="117" t="s">
        <v>120</v>
      </c>
      <c r="C155" s="75"/>
      <c r="D155" s="95">
        <f>D131</f>
        <v>0.15</v>
      </c>
      <c r="E155" s="96" t="s">
        <v>173</v>
      </c>
      <c r="F155" s="128"/>
    </row>
    <row r="156" ht="14.25" customHeight="1">
      <c r="A156" s="137" t="s">
        <v>124</v>
      </c>
      <c r="B156" s="65" t="s">
        <v>212</v>
      </c>
      <c r="C156" s="103"/>
      <c r="D156" s="103"/>
      <c r="E156" s="106"/>
      <c r="F156" s="138"/>
    </row>
    <row r="157" ht="14.25" customHeight="1">
      <c r="A157" s="139"/>
      <c r="B157" s="140" t="s">
        <v>135</v>
      </c>
      <c r="C157" s="141"/>
      <c r="D157" s="142"/>
      <c r="E157" s="143"/>
      <c r="F157" s="144"/>
    </row>
    <row r="158" ht="14.25" customHeight="1">
      <c r="A158" s="1"/>
      <c r="B158" s="1"/>
      <c r="C158" s="110"/>
      <c r="D158" s="110"/>
      <c r="E158" s="1"/>
      <c r="F158" s="1"/>
    </row>
    <row r="159" ht="14.25" customHeight="1">
      <c r="A159" s="1"/>
      <c r="B159" s="1"/>
      <c r="C159" s="146"/>
      <c r="D159" s="110"/>
      <c r="E159" s="1"/>
      <c r="F159" s="39"/>
    </row>
    <row r="160" ht="14.25" customHeight="1">
      <c r="A160" s="48" t="s">
        <v>213</v>
      </c>
      <c r="B160" s="31"/>
      <c r="C160" s="31"/>
      <c r="D160" s="31"/>
      <c r="E160" s="31"/>
      <c r="F160" s="32"/>
    </row>
    <row r="161" ht="14.25" customHeight="1">
      <c r="A161" s="50" t="s">
        <v>4</v>
      </c>
      <c r="B161" s="50" t="s">
        <v>32</v>
      </c>
      <c r="C161" s="50" t="s">
        <v>8</v>
      </c>
      <c r="D161" s="50" t="s">
        <v>35</v>
      </c>
      <c r="E161" s="51" t="s">
        <v>39</v>
      </c>
      <c r="F161" s="51" t="s">
        <v>43</v>
      </c>
    </row>
    <row r="162" ht="14.25" customHeight="1">
      <c r="A162" s="12"/>
      <c r="B162" s="12"/>
      <c r="C162" s="12"/>
      <c r="D162" s="12"/>
      <c r="E162" s="12"/>
      <c r="F162" s="12"/>
    </row>
    <row r="163" ht="14.25" customHeight="1">
      <c r="A163" s="57">
        <v>1.0</v>
      </c>
      <c r="B163" s="57">
        <v>2.0</v>
      </c>
      <c r="C163" s="38">
        <v>3.0</v>
      </c>
      <c r="D163" s="38">
        <v>4.0</v>
      </c>
      <c r="E163" s="149">
        <v>5.0</v>
      </c>
      <c r="F163" s="149">
        <v>6.0</v>
      </c>
    </row>
    <row r="164" ht="14.25" customHeight="1">
      <c r="A164" s="63" t="s">
        <v>54</v>
      </c>
      <c r="B164" s="65" t="s">
        <v>56</v>
      </c>
      <c r="C164" s="38"/>
      <c r="D164" s="38"/>
      <c r="E164" s="78"/>
      <c r="F164" s="78"/>
    </row>
    <row r="165" ht="14.25" customHeight="1">
      <c r="A165" s="57">
        <v>1.0</v>
      </c>
      <c r="B165" s="68" t="s">
        <v>23</v>
      </c>
      <c r="C165" s="38" t="s">
        <v>24</v>
      </c>
      <c r="D165" s="77">
        <v>0.2</v>
      </c>
      <c r="E165" s="67"/>
      <c r="F165" s="67"/>
    </row>
    <row r="166" ht="14.25" customHeight="1">
      <c r="A166" s="57">
        <v>2.0</v>
      </c>
      <c r="B166" s="46" t="s">
        <v>33</v>
      </c>
      <c r="C166" s="38" t="s">
        <v>24</v>
      </c>
      <c r="D166" s="77">
        <v>0.2</v>
      </c>
      <c r="E166" s="67"/>
      <c r="F166" s="67"/>
    </row>
    <row r="167" ht="14.25" customHeight="1">
      <c r="A167" s="57">
        <v>3.0</v>
      </c>
      <c r="B167" s="68" t="s">
        <v>210</v>
      </c>
      <c r="C167" s="38" t="s">
        <v>24</v>
      </c>
      <c r="D167" s="77">
        <v>0.02</v>
      </c>
      <c r="E167" s="67"/>
      <c r="F167" s="67"/>
    </row>
    <row r="168" ht="14.25" customHeight="1">
      <c r="A168" s="57">
        <v>4.0</v>
      </c>
      <c r="B168" s="68" t="s">
        <v>42</v>
      </c>
      <c r="C168" s="38" t="s">
        <v>24</v>
      </c>
      <c r="D168" s="77">
        <v>0.02</v>
      </c>
      <c r="E168" s="67"/>
      <c r="F168" s="67"/>
    </row>
    <row r="169" ht="14.25" customHeight="1">
      <c r="A169" s="73" t="s">
        <v>83</v>
      </c>
      <c r="B169" s="74"/>
      <c r="C169" s="74"/>
      <c r="D169" s="74"/>
      <c r="E169" s="75"/>
      <c r="F169" s="107"/>
    </row>
    <row r="170" ht="14.25" customHeight="1">
      <c r="A170" s="63" t="s">
        <v>90</v>
      </c>
      <c r="B170" s="65" t="s">
        <v>91</v>
      </c>
      <c r="C170" s="38"/>
      <c r="D170" s="77"/>
      <c r="E170" s="78"/>
      <c r="F170" s="67"/>
    </row>
    <row r="171" ht="14.25" customHeight="1">
      <c r="A171" s="57">
        <v>1.0</v>
      </c>
      <c r="B171" s="68" t="s">
        <v>76</v>
      </c>
      <c r="C171" s="64" t="s">
        <v>214</v>
      </c>
      <c r="D171" s="77">
        <v>0.005</v>
      </c>
      <c r="E171" s="67"/>
      <c r="F171" s="67"/>
    </row>
    <row r="172" ht="14.25" customHeight="1">
      <c r="A172" s="57">
        <v>2.0</v>
      </c>
      <c r="B172" s="68" t="s">
        <v>77</v>
      </c>
      <c r="C172" s="64" t="s">
        <v>58</v>
      </c>
      <c r="D172" s="77">
        <v>2.34</v>
      </c>
      <c r="E172" s="67"/>
      <c r="F172" s="67"/>
    </row>
    <row r="173" ht="14.25" customHeight="1">
      <c r="A173" s="73" t="s">
        <v>95</v>
      </c>
      <c r="B173" s="74"/>
      <c r="C173" s="74"/>
      <c r="D173" s="74"/>
      <c r="E173" s="75"/>
      <c r="F173" s="107"/>
    </row>
    <row r="174" ht="14.25" customHeight="1">
      <c r="A174" s="63" t="s">
        <v>99</v>
      </c>
      <c r="B174" s="65" t="s">
        <v>100</v>
      </c>
      <c r="C174" s="38"/>
      <c r="D174" s="38"/>
      <c r="E174" s="78"/>
      <c r="F174" s="67"/>
    </row>
    <row r="175" ht="14.25" customHeight="1">
      <c r="A175" s="63"/>
      <c r="B175" s="65"/>
      <c r="C175" s="38"/>
      <c r="D175" s="38"/>
      <c r="E175" s="78"/>
      <c r="F175" s="67"/>
    </row>
    <row r="176" ht="14.25" customHeight="1">
      <c r="A176" s="73" t="s">
        <v>111</v>
      </c>
      <c r="B176" s="74"/>
      <c r="C176" s="74"/>
      <c r="D176" s="74"/>
      <c r="E176" s="75"/>
      <c r="F176" s="107"/>
    </row>
    <row r="177" ht="14.25" customHeight="1">
      <c r="A177" s="72"/>
      <c r="B177" s="72"/>
      <c r="C177" s="38"/>
      <c r="D177" s="38"/>
      <c r="E177" s="88"/>
      <c r="F177" s="67"/>
    </row>
    <row r="178" ht="14.25" customHeight="1">
      <c r="A178" s="57" t="s">
        <v>115</v>
      </c>
      <c r="B178" s="68" t="s">
        <v>116</v>
      </c>
      <c r="C178" s="38"/>
      <c r="D178" s="38"/>
      <c r="E178" s="88"/>
      <c r="F178" s="67"/>
    </row>
    <row r="179" ht="14.25" customHeight="1">
      <c r="A179" s="57" t="s">
        <v>119</v>
      </c>
      <c r="B179" s="117" t="s">
        <v>120</v>
      </c>
      <c r="C179" s="75"/>
      <c r="D179" s="95">
        <f>D155</f>
        <v>0.15</v>
      </c>
      <c r="E179" s="96" t="s">
        <v>173</v>
      </c>
      <c r="F179" s="67"/>
    </row>
    <row r="180" ht="14.25" customHeight="1">
      <c r="A180" s="63" t="s">
        <v>124</v>
      </c>
      <c r="B180" s="65" t="s">
        <v>215</v>
      </c>
      <c r="C180" s="103"/>
      <c r="D180" s="103"/>
      <c r="E180" s="106"/>
      <c r="F180" s="107"/>
    </row>
    <row r="181" ht="14.25" customHeight="1">
      <c r="A181" s="63"/>
      <c r="B181" s="119" t="s">
        <v>135</v>
      </c>
      <c r="C181" s="75"/>
      <c r="D181" s="103"/>
      <c r="E181" s="106"/>
      <c r="F181" s="107"/>
    </row>
    <row r="182" ht="14.25" customHeight="1">
      <c r="C182" s="146"/>
      <c r="D182" s="110"/>
      <c r="E182" s="39"/>
      <c r="F182" s="39"/>
    </row>
    <row r="183" ht="14.25" customHeight="1">
      <c r="A183" s="48" t="s">
        <v>216</v>
      </c>
      <c r="B183" s="31"/>
      <c r="C183" s="31"/>
      <c r="D183" s="31"/>
      <c r="E183" s="31"/>
      <c r="F183" s="32"/>
    </row>
    <row r="184" ht="14.25" customHeight="1">
      <c r="A184" s="122" t="s">
        <v>4</v>
      </c>
      <c r="B184" s="50" t="s">
        <v>32</v>
      </c>
      <c r="C184" s="50" t="s">
        <v>8</v>
      </c>
      <c r="D184" s="50" t="s">
        <v>35</v>
      </c>
      <c r="E184" s="51" t="s">
        <v>39</v>
      </c>
      <c r="F184" s="123" t="s">
        <v>43</v>
      </c>
    </row>
    <row r="185" ht="14.25" customHeight="1">
      <c r="A185" s="124"/>
      <c r="B185" s="12"/>
      <c r="C185" s="12"/>
      <c r="D185" s="12"/>
      <c r="E185" s="12"/>
      <c r="F185" s="125"/>
    </row>
    <row r="186" ht="14.25" customHeight="1">
      <c r="A186" s="126">
        <v>1.0</v>
      </c>
      <c r="B186" s="57">
        <v>2.0</v>
      </c>
      <c r="C186" s="38">
        <v>3.0</v>
      </c>
      <c r="D186" s="38">
        <v>4.0</v>
      </c>
      <c r="E186" s="149">
        <v>5.0</v>
      </c>
      <c r="F186" s="150">
        <v>6.0</v>
      </c>
    </row>
    <row r="187" ht="14.25" customHeight="1">
      <c r="A187" s="137" t="s">
        <v>54</v>
      </c>
      <c r="B187" s="65" t="s">
        <v>56</v>
      </c>
      <c r="C187" s="38"/>
      <c r="D187" s="38"/>
      <c r="E187" s="78"/>
      <c r="F187" s="151"/>
    </row>
    <row r="188" ht="14.25" customHeight="1">
      <c r="A188" s="126">
        <v>1.0</v>
      </c>
      <c r="B188" s="68" t="s">
        <v>23</v>
      </c>
      <c r="C188" s="38" t="s">
        <v>24</v>
      </c>
      <c r="D188" s="77">
        <v>1.0</v>
      </c>
      <c r="E188" s="67"/>
      <c r="F188" s="128"/>
    </row>
    <row r="189" ht="14.25" customHeight="1">
      <c r="A189" s="126">
        <v>2.0</v>
      </c>
      <c r="B189" s="46" t="s">
        <v>33</v>
      </c>
      <c r="C189" s="38" t="s">
        <v>24</v>
      </c>
      <c r="D189" s="77">
        <v>0.25</v>
      </c>
      <c r="E189" s="67"/>
      <c r="F189" s="128"/>
    </row>
    <row r="190" ht="14.25" customHeight="1">
      <c r="A190" s="126">
        <v>3.0</v>
      </c>
      <c r="B190" s="68" t="s">
        <v>210</v>
      </c>
      <c r="C190" s="38" t="s">
        <v>24</v>
      </c>
      <c r="D190" s="77">
        <v>0.025</v>
      </c>
      <c r="E190" s="67"/>
      <c r="F190" s="128"/>
    </row>
    <row r="191" ht="14.25" customHeight="1">
      <c r="A191" s="126">
        <v>4.0</v>
      </c>
      <c r="B191" s="68" t="s">
        <v>42</v>
      </c>
      <c r="C191" s="38" t="s">
        <v>24</v>
      </c>
      <c r="D191" s="77">
        <v>0.1</v>
      </c>
      <c r="E191" s="67"/>
      <c r="F191" s="128"/>
    </row>
    <row r="192" ht="14.25" customHeight="1">
      <c r="A192" s="133" t="s">
        <v>83</v>
      </c>
      <c r="B192" s="74"/>
      <c r="C192" s="74"/>
      <c r="D192" s="74"/>
      <c r="E192" s="75"/>
      <c r="F192" s="138"/>
    </row>
    <row r="193" ht="14.25" customHeight="1">
      <c r="A193" s="137" t="s">
        <v>90</v>
      </c>
      <c r="B193" s="65" t="s">
        <v>91</v>
      </c>
      <c r="C193" s="38"/>
      <c r="D193" s="77"/>
      <c r="E193" s="78"/>
      <c r="F193" s="128"/>
    </row>
    <row r="194" ht="14.25" customHeight="1">
      <c r="A194" s="126">
        <v>1.0</v>
      </c>
      <c r="B194" s="68" t="s">
        <v>77</v>
      </c>
      <c r="C194" s="38" t="s">
        <v>58</v>
      </c>
      <c r="D194" s="77">
        <v>348.0</v>
      </c>
      <c r="E194" s="67"/>
      <c r="F194" s="128"/>
    </row>
    <row r="195" ht="14.25" customHeight="1">
      <c r="A195" s="126">
        <v>2.0</v>
      </c>
      <c r="B195" s="68" t="s">
        <v>76</v>
      </c>
      <c r="C195" s="38" t="s">
        <v>58</v>
      </c>
      <c r="D195" s="77">
        <v>790.0</v>
      </c>
      <c r="E195" s="67"/>
      <c r="F195" s="128"/>
    </row>
    <row r="196" ht="14.25" customHeight="1">
      <c r="A196" s="126">
        <v>3.0</v>
      </c>
      <c r="B196" s="68" t="s">
        <v>79</v>
      </c>
      <c r="C196" s="38" t="s">
        <v>58</v>
      </c>
      <c r="D196" s="77">
        <v>1009.0</v>
      </c>
      <c r="E196" s="67"/>
      <c r="F196" s="128"/>
    </row>
    <row r="197" ht="14.25" customHeight="1">
      <c r="A197" s="126">
        <v>4.0</v>
      </c>
      <c r="B197" s="68" t="s">
        <v>80</v>
      </c>
      <c r="C197" s="64" t="s">
        <v>81</v>
      </c>
      <c r="D197" s="77">
        <v>202.0</v>
      </c>
      <c r="E197" s="67"/>
      <c r="F197" s="128"/>
    </row>
    <row r="198" ht="14.25" customHeight="1">
      <c r="A198" s="133" t="s">
        <v>95</v>
      </c>
      <c r="B198" s="74"/>
      <c r="C198" s="74"/>
      <c r="D198" s="74"/>
      <c r="E198" s="75"/>
      <c r="F198" s="138"/>
    </row>
    <row r="199" ht="14.25" customHeight="1">
      <c r="A199" s="137" t="s">
        <v>99</v>
      </c>
      <c r="B199" s="65" t="s">
        <v>100</v>
      </c>
      <c r="C199" s="38"/>
      <c r="D199" s="38"/>
      <c r="E199" s="78"/>
      <c r="F199" s="128"/>
    </row>
    <row r="200" ht="14.25" customHeight="1">
      <c r="A200" s="126">
        <v>1.0</v>
      </c>
      <c r="B200" s="68" t="str">
        <f>[1]RESOURCE!C43</f>
        <v>#ERROR!</v>
      </c>
      <c r="C200" s="38" t="s">
        <v>106</v>
      </c>
      <c r="D200" s="38">
        <v>0.0118</v>
      </c>
      <c r="E200" s="67"/>
      <c r="F200" s="128"/>
    </row>
    <row r="201" ht="14.25" customHeight="1">
      <c r="A201" s="126">
        <v>2.0</v>
      </c>
      <c r="B201" s="68" t="s">
        <v>117</v>
      </c>
      <c r="C201" s="38" t="s">
        <v>106</v>
      </c>
      <c r="D201" s="38">
        <v>0.0201</v>
      </c>
      <c r="E201" s="67"/>
      <c r="F201" s="128"/>
    </row>
    <row r="202" ht="14.25" customHeight="1">
      <c r="A202" s="126">
        <v>3.0</v>
      </c>
      <c r="B202" s="68" t="s">
        <v>118</v>
      </c>
      <c r="C202" s="38" t="s">
        <v>106</v>
      </c>
      <c r="D202" s="38">
        <v>0.04819</v>
      </c>
      <c r="E202" s="67"/>
      <c r="F202" s="128"/>
    </row>
    <row r="203" ht="14.25" customHeight="1">
      <c r="A203" s="133" t="s">
        <v>111</v>
      </c>
      <c r="B203" s="74"/>
      <c r="C203" s="74"/>
      <c r="D203" s="74"/>
      <c r="E203" s="75"/>
      <c r="F203" s="138"/>
    </row>
    <row r="204" ht="14.25" customHeight="1">
      <c r="A204" s="152"/>
      <c r="B204" s="72"/>
      <c r="C204" s="38"/>
      <c r="D204" s="38"/>
      <c r="E204" s="88"/>
      <c r="F204" s="128"/>
    </row>
    <row r="205" ht="14.25" customHeight="1">
      <c r="A205" s="126" t="s">
        <v>115</v>
      </c>
      <c r="B205" s="68" t="s">
        <v>116</v>
      </c>
      <c r="C205" s="38"/>
      <c r="D205" s="38"/>
      <c r="E205" s="88"/>
      <c r="F205" s="128"/>
    </row>
    <row r="206" ht="14.25" customHeight="1">
      <c r="A206" s="126" t="s">
        <v>119</v>
      </c>
      <c r="B206" s="117" t="s">
        <v>120</v>
      </c>
      <c r="C206" s="75"/>
      <c r="D206" s="95">
        <f>D179</f>
        <v>0.15</v>
      </c>
      <c r="E206" s="96" t="s">
        <v>173</v>
      </c>
      <c r="F206" s="128"/>
    </row>
    <row r="207" ht="14.25" customHeight="1">
      <c r="A207" s="137" t="s">
        <v>124</v>
      </c>
      <c r="B207" s="65" t="s">
        <v>217</v>
      </c>
      <c r="C207" s="103"/>
      <c r="D207" s="103"/>
      <c r="E207" s="106"/>
      <c r="F207" s="138"/>
    </row>
    <row r="208" ht="14.25" customHeight="1">
      <c r="A208" s="139"/>
      <c r="B208" s="140" t="s">
        <v>135</v>
      </c>
      <c r="C208" s="141"/>
      <c r="D208" s="142"/>
      <c r="E208" s="143"/>
      <c r="F208" s="144"/>
    </row>
    <row r="209" ht="14.25" customHeight="1">
      <c r="A209" s="1"/>
      <c r="B209" s="1"/>
      <c r="C209" s="110"/>
      <c r="D209" s="110"/>
      <c r="E209" s="39"/>
      <c r="F209" s="39"/>
    </row>
    <row r="210" ht="14.25" customHeight="1">
      <c r="A210" s="48" t="s">
        <v>218</v>
      </c>
      <c r="B210" s="31"/>
      <c r="C210" s="31"/>
      <c r="D210" s="31"/>
      <c r="E210" s="31"/>
      <c r="F210" s="32"/>
    </row>
    <row r="211" ht="14.25" customHeight="1">
      <c r="A211" s="155" t="s">
        <v>4</v>
      </c>
      <c r="B211" s="156" t="s">
        <v>32</v>
      </c>
      <c r="C211" s="156" t="s">
        <v>8</v>
      </c>
      <c r="D211" s="156" t="s">
        <v>35</v>
      </c>
      <c r="E211" s="157" t="s">
        <v>39</v>
      </c>
      <c r="F211" s="158" t="s">
        <v>43</v>
      </c>
    </row>
    <row r="212" ht="14.25" customHeight="1">
      <c r="A212" s="126">
        <v>1.0</v>
      </c>
      <c r="B212" s="57">
        <v>2.0</v>
      </c>
      <c r="C212" s="38">
        <v>3.0</v>
      </c>
      <c r="D212" s="38">
        <v>4.0</v>
      </c>
      <c r="E212" s="149">
        <v>5.0</v>
      </c>
      <c r="F212" s="150">
        <v>6.0</v>
      </c>
    </row>
    <row r="213" ht="14.25" customHeight="1">
      <c r="A213" s="137" t="s">
        <v>54</v>
      </c>
      <c r="B213" s="65" t="s">
        <v>56</v>
      </c>
      <c r="C213" s="38"/>
      <c r="D213" s="38"/>
      <c r="E213" s="78"/>
      <c r="F213" s="151"/>
    </row>
    <row r="214" ht="14.25" customHeight="1">
      <c r="A214" s="126">
        <v>1.0</v>
      </c>
      <c r="B214" s="68" t="s">
        <v>23</v>
      </c>
      <c r="C214" s="38" t="s">
        <v>24</v>
      </c>
      <c r="D214" s="77">
        <v>0.03</v>
      </c>
      <c r="E214" s="67"/>
      <c r="F214" s="128"/>
    </row>
    <row r="215" ht="14.25" customHeight="1">
      <c r="A215" s="126">
        <v>2.0</v>
      </c>
      <c r="B215" s="68" t="s">
        <v>190</v>
      </c>
      <c r="C215" s="38" t="s">
        <v>24</v>
      </c>
      <c r="D215" s="77">
        <v>0.03</v>
      </c>
      <c r="E215" s="67"/>
      <c r="F215" s="128"/>
    </row>
    <row r="216" ht="14.25" customHeight="1">
      <c r="A216" s="126">
        <v>3.0</v>
      </c>
      <c r="B216" s="68" t="s">
        <v>210</v>
      </c>
      <c r="C216" s="38" t="s">
        <v>24</v>
      </c>
      <c r="D216" s="77">
        <v>0.003</v>
      </c>
      <c r="E216" s="67"/>
      <c r="F216" s="128"/>
    </row>
    <row r="217" ht="14.25" customHeight="1">
      <c r="A217" s="126">
        <v>4.0</v>
      </c>
      <c r="B217" s="68" t="s">
        <v>42</v>
      </c>
      <c r="C217" s="38" t="s">
        <v>24</v>
      </c>
      <c r="D217" s="77">
        <v>0.003</v>
      </c>
      <c r="E217" s="67"/>
      <c r="F217" s="128"/>
    </row>
    <row r="218" ht="14.25" customHeight="1">
      <c r="A218" s="133" t="s">
        <v>83</v>
      </c>
      <c r="B218" s="74"/>
      <c r="C218" s="74"/>
      <c r="D218" s="74"/>
      <c r="E218" s="75"/>
      <c r="F218" s="138"/>
    </row>
    <row r="219" ht="14.25" customHeight="1">
      <c r="A219" s="137" t="s">
        <v>90</v>
      </c>
      <c r="B219" s="65" t="s">
        <v>91</v>
      </c>
      <c r="C219" s="38"/>
      <c r="D219" s="77"/>
      <c r="E219" s="78"/>
      <c r="F219" s="128"/>
    </row>
    <row r="220" ht="14.25" customHeight="1">
      <c r="A220" s="126">
        <v>1.0</v>
      </c>
      <c r="B220" s="62" t="s">
        <v>84</v>
      </c>
      <c r="C220" s="64" t="s">
        <v>219</v>
      </c>
      <c r="D220" s="77">
        <v>1.0</v>
      </c>
      <c r="E220" s="67"/>
      <c r="F220" s="128"/>
    </row>
    <row r="221" ht="14.25" customHeight="1">
      <c r="A221" s="126">
        <v>2.0</v>
      </c>
      <c r="B221" s="68" t="s">
        <v>85</v>
      </c>
      <c r="C221" s="64" t="s">
        <v>206</v>
      </c>
      <c r="D221" s="77">
        <v>0.01</v>
      </c>
      <c r="E221" s="67"/>
      <c r="F221" s="128"/>
    </row>
    <row r="222" ht="14.25" customHeight="1">
      <c r="A222" s="133" t="s">
        <v>95</v>
      </c>
      <c r="B222" s="74"/>
      <c r="C222" s="74"/>
      <c r="D222" s="74"/>
      <c r="E222" s="75"/>
      <c r="F222" s="138"/>
    </row>
    <row r="223" ht="14.25" customHeight="1">
      <c r="A223" s="137" t="s">
        <v>99</v>
      </c>
      <c r="B223" s="65" t="s">
        <v>100</v>
      </c>
      <c r="C223" s="38"/>
      <c r="D223" s="38"/>
      <c r="E223" s="78"/>
      <c r="F223" s="128"/>
    </row>
    <row r="224" ht="14.25" customHeight="1">
      <c r="A224" s="137"/>
      <c r="B224" s="65"/>
      <c r="C224" s="38"/>
      <c r="D224" s="38"/>
      <c r="E224" s="78"/>
      <c r="F224" s="128"/>
    </row>
    <row r="225" ht="14.25" customHeight="1">
      <c r="A225" s="133" t="s">
        <v>111</v>
      </c>
      <c r="B225" s="74"/>
      <c r="C225" s="74"/>
      <c r="D225" s="74"/>
      <c r="E225" s="75"/>
      <c r="F225" s="138"/>
    </row>
    <row r="226" ht="14.25" customHeight="1">
      <c r="A226" s="152"/>
      <c r="B226" s="72"/>
      <c r="C226" s="38"/>
      <c r="D226" s="38"/>
      <c r="E226" s="88"/>
      <c r="F226" s="128"/>
    </row>
    <row r="227" ht="14.25" customHeight="1">
      <c r="A227" s="126" t="s">
        <v>115</v>
      </c>
      <c r="B227" s="68" t="s">
        <v>116</v>
      </c>
      <c r="C227" s="38"/>
      <c r="D227" s="38"/>
      <c r="E227" s="88"/>
      <c r="F227" s="128"/>
    </row>
    <row r="228" ht="14.25" customHeight="1">
      <c r="A228" s="126" t="s">
        <v>119</v>
      </c>
      <c r="B228" s="117" t="s">
        <v>120</v>
      </c>
      <c r="C228" s="75"/>
      <c r="D228" s="95">
        <f>D206</f>
        <v>0.15</v>
      </c>
      <c r="E228" s="96" t="s">
        <v>173</v>
      </c>
      <c r="F228" s="128"/>
    </row>
    <row r="229" ht="14.25" customHeight="1">
      <c r="A229" s="137" t="s">
        <v>124</v>
      </c>
      <c r="B229" s="65" t="s">
        <v>220</v>
      </c>
      <c r="C229" s="103"/>
      <c r="D229" s="103"/>
      <c r="E229" s="106"/>
      <c r="F229" s="138"/>
    </row>
    <row r="230" ht="14.25" customHeight="1">
      <c r="A230" s="139"/>
      <c r="B230" s="140" t="s">
        <v>135</v>
      </c>
      <c r="C230" s="141"/>
      <c r="D230" s="142"/>
      <c r="E230" s="143"/>
      <c r="F230" s="144"/>
    </row>
    <row r="231" ht="14.25" customHeight="1">
      <c r="A231" s="1"/>
      <c r="B231" s="1"/>
      <c r="C231" s="110"/>
      <c r="D231" s="110"/>
      <c r="E231" s="39"/>
      <c r="F231" s="39"/>
    </row>
    <row r="232" ht="14.25" customHeight="1">
      <c r="A232" s="48" t="s">
        <v>221</v>
      </c>
      <c r="B232" s="31"/>
      <c r="C232" s="31"/>
      <c r="D232" s="31"/>
      <c r="E232" s="31"/>
      <c r="F232" s="32"/>
    </row>
    <row r="233" ht="14.25" customHeight="1">
      <c r="A233" s="155" t="s">
        <v>4</v>
      </c>
      <c r="B233" s="156" t="s">
        <v>32</v>
      </c>
      <c r="C233" s="156" t="s">
        <v>8</v>
      </c>
      <c r="D233" s="156" t="s">
        <v>35</v>
      </c>
      <c r="E233" s="157" t="s">
        <v>222</v>
      </c>
      <c r="F233" s="158" t="s">
        <v>223</v>
      </c>
    </row>
    <row r="234" ht="14.25" customHeight="1">
      <c r="A234" s="126">
        <v>1.0</v>
      </c>
      <c r="B234" s="57">
        <v>2.0</v>
      </c>
      <c r="C234" s="38">
        <v>3.0</v>
      </c>
      <c r="D234" s="38">
        <v>4.0</v>
      </c>
      <c r="E234" s="149">
        <v>5.0</v>
      </c>
      <c r="F234" s="150">
        <v>6.0</v>
      </c>
    </row>
    <row r="235" ht="14.25" customHeight="1">
      <c r="A235" s="137" t="s">
        <v>54</v>
      </c>
      <c r="B235" s="65" t="s">
        <v>56</v>
      </c>
      <c r="C235" s="38"/>
      <c r="D235" s="38"/>
      <c r="E235" s="78"/>
      <c r="F235" s="151"/>
    </row>
    <row r="236" ht="14.25" customHeight="1">
      <c r="A236" s="126">
        <v>1.0</v>
      </c>
      <c r="B236" s="68" t="s">
        <v>23</v>
      </c>
      <c r="C236" s="38" t="s">
        <v>24</v>
      </c>
      <c r="D236" s="77">
        <v>0.1</v>
      </c>
      <c r="E236" s="67"/>
      <c r="F236" s="159"/>
    </row>
    <row r="237" ht="14.25" customHeight="1">
      <c r="A237" s="126">
        <v>2.0</v>
      </c>
      <c r="B237" s="68" t="s">
        <v>25</v>
      </c>
      <c r="C237" s="38" t="s">
        <v>24</v>
      </c>
      <c r="D237" s="77">
        <v>0.1</v>
      </c>
      <c r="E237" s="67"/>
      <c r="F237" s="159"/>
    </row>
    <row r="238" ht="14.25" customHeight="1">
      <c r="A238" s="126">
        <v>3.0</v>
      </c>
      <c r="B238" s="68" t="s">
        <v>210</v>
      </c>
      <c r="C238" s="38" t="s">
        <v>24</v>
      </c>
      <c r="D238" s="77">
        <v>0.06</v>
      </c>
      <c r="E238" s="67"/>
      <c r="F238" s="159"/>
    </row>
    <row r="239" ht="14.25" customHeight="1">
      <c r="A239" s="126">
        <v>4.0</v>
      </c>
      <c r="B239" s="68" t="s">
        <v>42</v>
      </c>
      <c r="C239" s="38" t="s">
        <v>24</v>
      </c>
      <c r="D239" s="77">
        <v>0.02</v>
      </c>
      <c r="E239" s="67"/>
      <c r="F239" s="159"/>
    </row>
    <row r="240" ht="14.25" customHeight="1">
      <c r="A240" s="133" t="s">
        <v>83</v>
      </c>
      <c r="B240" s="74"/>
      <c r="C240" s="74"/>
      <c r="D240" s="74"/>
      <c r="E240" s="75"/>
      <c r="F240" s="160"/>
    </row>
    <row r="241" ht="14.25" customHeight="1">
      <c r="A241" s="137" t="s">
        <v>90</v>
      </c>
      <c r="B241" s="65" t="s">
        <v>91</v>
      </c>
      <c r="C241" s="38"/>
      <c r="D241" s="77"/>
      <c r="E241" s="78"/>
      <c r="F241" s="159"/>
    </row>
    <row r="242" ht="14.25" customHeight="1">
      <c r="A242" s="126">
        <v>1.0</v>
      </c>
      <c r="B242" s="62" t="s">
        <v>86</v>
      </c>
      <c r="C242" s="64" t="s">
        <v>29</v>
      </c>
      <c r="D242" s="77">
        <v>1.0</v>
      </c>
      <c r="E242" s="67"/>
      <c r="F242" s="159"/>
    </row>
    <row r="243" ht="14.25" customHeight="1">
      <c r="A243" s="133" t="s">
        <v>95</v>
      </c>
      <c r="B243" s="74"/>
      <c r="C243" s="74"/>
      <c r="D243" s="74"/>
      <c r="E243" s="75"/>
      <c r="F243" s="160"/>
    </row>
    <row r="244" ht="14.25" customHeight="1">
      <c r="A244" s="137" t="s">
        <v>99</v>
      </c>
      <c r="B244" s="65" t="s">
        <v>100</v>
      </c>
      <c r="C244" s="38"/>
      <c r="D244" s="38"/>
      <c r="E244" s="78"/>
      <c r="F244" s="161"/>
    </row>
    <row r="245" ht="14.25" customHeight="1">
      <c r="A245" s="133" t="s">
        <v>111</v>
      </c>
      <c r="B245" s="74"/>
      <c r="C245" s="74"/>
      <c r="D245" s="74"/>
      <c r="E245" s="75"/>
      <c r="F245" s="162"/>
    </row>
    <row r="246" ht="14.25" customHeight="1">
      <c r="A246" s="152"/>
      <c r="B246" s="72"/>
      <c r="C246" s="38"/>
      <c r="D246" s="38"/>
      <c r="E246" s="88"/>
      <c r="F246" s="159"/>
    </row>
    <row r="247" ht="14.25" customHeight="1">
      <c r="A247" s="126" t="s">
        <v>115</v>
      </c>
      <c r="B247" s="68" t="s">
        <v>116</v>
      </c>
      <c r="C247" s="38"/>
      <c r="D247" s="38"/>
      <c r="E247" s="88"/>
      <c r="F247" s="159"/>
    </row>
    <row r="248" ht="14.25" customHeight="1">
      <c r="A248" s="126" t="s">
        <v>119</v>
      </c>
      <c r="B248" s="117" t="s">
        <v>120</v>
      </c>
      <c r="C248" s="75"/>
      <c r="D248" s="95">
        <f>D228</f>
        <v>0.15</v>
      </c>
      <c r="E248" s="96" t="s">
        <v>173</v>
      </c>
      <c r="F248" s="159"/>
    </row>
    <row r="249" ht="14.25" customHeight="1">
      <c r="A249" s="137" t="s">
        <v>124</v>
      </c>
      <c r="B249" s="65" t="s">
        <v>224</v>
      </c>
      <c r="C249" s="103"/>
      <c r="D249" s="103"/>
      <c r="E249" s="106"/>
      <c r="F249" s="159"/>
    </row>
    <row r="250" ht="14.25" customHeight="1">
      <c r="A250" s="139"/>
      <c r="B250" s="140" t="s">
        <v>135</v>
      </c>
      <c r="C250" s="141"/>
      <c r="D250" s="142"/>
      <c r="E250" s="143"/>
      <c r="F250" s="144"/>
    </row>
    <row r="251" ht="14.25" customHeight="1">
      <c r="A251" s="1"/>
      <c r="B251" s="1"/>
      <c r="C251" s="110"/>
      <c r="D251" s="110"/>
      <c r="E251" s="39"/>
      <c r="F251" s="39"/>
    </row>
    <row r="252" ht="14.25" customHeight="1">
      <c r="A252" s="48" t="s">
        <v>225</v>
      </c>
      <c r="B252" s="31"/>
      <c r="C252" s="31"/>
      <c r="D252" s="31"/>
      <c r="E252" s="31"/>
      <c r="F252" s="32"/>
    </row>
    <row r="253" ht="14.25" customHeight="1">
      <c r="A253" s="122" t="s">
        <v>4</v>
      </c>
      <c r="B253" s="50" t="s">
        <v>32</v>
      </c>
      <c r="C253" s="50" t="s">
        <v>8</v>
      </c>
      <c r="D253" s="50" t="s">
        <v>35</v>
      </c>
      <c r="E253" s="51" t="s">
        <v>39</v>
      </c>
      <c r="F253" s="123" t="s">
        <v>43</v>
      </c>
    </row>
    <row r="254" ht="14.25" customHeight="1">
      <c r="A254" s="124"/>
      <c r="B254" s="12"/>
      <c r="C254" s="12"/>
      <c r="D254" s="12"/>
      <c r="E254" s="12"/>
      <c r="F254" s="125"/>
    </row>
    <row r="255" ht="14.25" customHeight="1">
      <c r="A255" s="126">
        <v>1.0</v>
      </c>
      <c r="B255" s="57">
        <v>2.0</v>
      </c>
      <c r="C255" s="38">
        <v>3.0</v>
      </c>
      <c r="D255" s="38">
        <v>4.0</v>
      </c>
      <c r="E255" s="149">
        <v>5.0</v>
      </c>
      <c r="F255" s="150">
        <v>6.0</v>
      </c>
    </row>
    <row r="256" ht="14.25" customHeight="1">
      <c r="A256" s="137" t="s">
        <v>54</v>
      </c>
      <c r="B256" s="65" t="s">
        <v>56</v>
      </c>
      <c r="C256" s="38"/>
      <c r="D256" s="38"/>
      <c r="E256" s="78"/>
      <c r="F256" s="151"/>
    </row>
    <row r="257" ht="14.25" customHeight="1">
      <c r="A257" s="126">
        <v>1.0</v>
      </c>
      <c r="B257" s="68" t="s">
        <v>23</v>
      </c>
      <c r="C257" s="38" t="s">
        <v>24</v>
      </c>
      <c r="D257" s="77">
        <v>0.24</v>
      </c>
      <c r="E257" s="67"/>
      <c r="F257" s="128"/>
    </row>
    <row r="258" ht="14.25" customHeight="1">
      <c r="A258" s="126">
        <v>2.0</v>
      </c>
      <c r="B258" s="68" t="s">
        <v>30</v>
      </c>
      <c r="C258" s="38" t="s">
        <v>24</v>
      </c>
      <c r="D258" s="77">
        <v>0.12</v>
      </c>
      <c r="E258" s="67"/>
      <c r="F258" s="128"/>
    </row>
    <row r="259" ht="14.25" customHeight="1">
      <c r="A259" s="126">
        <v>3.0</v>
      </c>
      <c r="B259" s="68" t="s">
        <v>210</v>
      </c>
      <c r="C259" s="38" t="s">
        <v>24</v>
      </c>
      <c r="D259" s="77">
        <v>0.012</v>
      </c>
      <c r="E259" s="67"/>
      <c r="F259" s="128"/>
    </row>
    <row r="260" ht="14.25" customHeight="1">
      <c r="A260" s="126">
        <v>4.0</v>
      </c>
      <c r="B260" s="68" t="s">
        <v>42</v>
      </c>
      <c r="C260" s="38" t="s">
        <v>24</v>
      </c>
      <c r="D260" s="77">
        <v>0.024</v>
      </c>
      <c r="E260" s="67"/>
      <c r="F260" s="128"/>
    </row>
    <row r="261" ht="14.25" customHeight="1">
      <c r="A261" s="133" t="s">
        <v>83</v>
      </c>
      <c r="B261" s="74"/>
      <c r="C261" s="74"/>
      <c r="D261" s="74"/>
      <c r="E261" s="75"/>
      <c r="F261" s="138"/>
    </row>
    <row r="262" ht="14.25" customHeight="1">
      <c r="A262" s="137" t="s">
        <v>90</v>
      </c>
      <c r="B262" s="65" t="s">
        <v>91</v>
      </c>
      <c r="C262" s="38"/>
      <c r="D262" s="77"/>
      <c r="E262" s="78"/>
      <c r="F262" s="128"/>
    </row>
    <row r="263" ht="14.25" customHeight="1">
      <c r="A263" s="126">
        <v>1.0</v>
      </c>
      <c r="B263" s="68" t="s">
        <v>87</v>
      </c>
      <c r="C263" s="38" t="s">
        <v>88</v>
      </c>
      <c r="D263" s="77">
        <v>0.128</v>
      </c>
      <c r="E263" s="67"/>
      <c r="F263" s="128"/>
    </row>
    <row r="264" ht="14.25" customHeight="1">
      <c r="A264" s="126">
        <v>2.0</v>
      </c>
      <c r="B264" s="59" t="s">
        <v>50</v>
      </c>
      <c r="C264" s="38" t="s">
        <v>45</v>
      </c>
      <c r="D264" s="77">
        <v>0.011</v>
      </c>
      <c r="E264" s="67"/>
      <c r="F264" s="128"/>
    </row>
    <row r="265" ht="14.25" customHeight="1">
      <c r="A265" s="126">
        <v>3.0</v>
      </c>
      <c r="B265" s="68" t="s">
        <v>89</v>
      </c>
      <c r="C265" s="64" t="s">
        <v>206</v>
      </c>
      <c r="D265" s="77">
        <v>0.25</v>
      </c>
      <c r="E265" s="67"/>
      <c r="F265" s="128"/>
    </row>
    <row r="266" ht="14.25" customHeight="1">
      <c r="A266" s="126">
        <v>4.0</v>
      </c>
      <c r="B266" s="68" t="s">
        <v>92</v>
      </c>
      <c r="C266" s="64" t="s">
        <v>226</v>
      </c>
      <c r="D266" s="77">
        <v>0.2</v>
      </c>
      <c r="E266" s="67"/>
      <c r="F266" s="128"/>
    </row>
    <row r="267" ht="14.25" customHeight="1">
      <c r="A267" s="133" t="s">
        <v>95</v>
      </c>
      <c r="B267" s="74"/>
      <c r="C267" s="74"/>
      <c r="D267" s="74"/>
      <c r="E267" s="75"/>
      <c r="F267" s="138"/>
    </row>
    <row r="268" ht="14.25" customHeight="1">
      <c r="A268" s="137" t="s">
        <v>99</v>
      </c>
      <c r="B268" s="65" t="s">
        <v>100</v>
      </c>
      <c r="C268" s="38"/>
      <c r="D268" s="38"/>
      <c r="E268" s="78"/>
      <c r="F268" s="128"/>
    </row>
    <row r="269" ht="14.25" customHeight="1">
      <c r="A269" s="137"/>
      <c r="B269" s="65"/>
      <c r="C269" s="38"/>
      <c r="D269" s="38"/>
      <c r="E269" s="78"/>
      <c r="F269" s="128"/>
    </row>
    <row r="270" ht="14.25" customHeight="1">
      <c r="A270" s="133" t="s">
        <v>111</v>
      </c>
      <c r="B270" s="74"/>
      <c r="C270" s="74"/>
      <c r="D270" s="74"/>
      <c r="E270" s="75"/>
      <c r="F270" s="138"/>
    </row>
    <row r="271" ht="14.25" customHeight="1">
      <c r="A271" s="152"/>
      <c r="B271" s="72"/>
      <c r="C271" s="38"/>
      <c r="D271" s="38"/>
      <c r="E271" s="88"/>
      <c r="F271" s="128"/>
    </row>
    <row r="272" ht="14.25" customHeight="1">
      <c r="A272" s="126" t="s">
        <v>115</v>
      </c>
      <c r="B272" s="68" t="s">
        <v>116</v>
      </c>
      <c r="C272" s="38"/>
      <c r="D272" s="38"/>
      <c r="E272" s="88"/>
      <c r="F272" s="128"/>
    </row>
    <row r="273" ht="14.25" customHeight="1">
      <c r="A273" s="126" t="s">
        <v>119</v>
      </c>
      <c r="B273" s="117" t="s">
        <v>120</v>
      </c>
      <c r="C273" s="75"/>
      <c r="D273" s="95">
        <v>0.15</v>
      </c>
      <c r="E273" s="96" t="s">
        <v>173</v>
      </c>
      <c r="F273" s="128"/>
    </row>
    <row r="274" ht="14.25" customHeight="1">
      <c r="A274" s="137" t="s">
        <v>124</v>
      </c>
      <c r="B274" s="65" t="s">
        <v>227</v>
      </c>
      <c r="C274" s="103"/>
      <c r="D274" s="103"/>
      <c r="E274" s="106"/>
      <c r="F274" s="138"/>
    </row>
    <row r="275" ht="14.25" customHeight="1">
      <c r="A275" s="139"/>
      <c r="B275" s="140" t="s">
        <v>135</v>
      </c>
      <c r="C275" s="141"/>
      <c r="D275" s="142"/>
      <c r="E275" s="143"/>
      <c r="F275" s="144"/>
    </row>
    <row r="276" ht="14.25" customHeight="1">
      <c r="A276" s="1"/>
      <c r="B276" s="1"/>
      <c r="C276" s="110"/>
      <c r="D276" s="110"/>
      <c r="E276" s="39"/>
      <c r="F276" s="39"/>
    </row>
    <row r="277" ht="14.25" customHeight="1">
      <c r="A277" s="1"/>
      <c r="B277" s="1"/>
      <c r="C277" s="110"/>
      <c r="D277" s="110"/>
      <c r="E277" s="39"/>
      <c r="F277" s="39"/>
    </row>
    <row r="278" ht="14.25" customHeight="1">
      <c r="A278" s="48" t="s">
        <v>228</v>
      </c>
      <c r="B278" s="31"/>
      <c r="C278" s="31"/>
      <c r="D278" s="31"/>
      <c r="E278" s="31"/>
      <c r="F278" s="32"/>
    </row>
    <row r="279" ht="14.25" customHeight="1">
      <c r="A279" s="50" t="s">
        <v>4</v>
      </c>
      <c r="B279" s="50" t="s">
        <v>32</v>
      </c>
      <c r="C279" s="50" t="s">
        <v>8</v>
      </c>
      <c r="D279" s="50" t="s">
        <v>35</v>
      </c>
      <c r="E279" s="51" t="s">
        <v>39</v>
      </c>
      <c r="F279" s="51" t="s">
        <v>43</v>
      </c>
    </row>
    <row r="280" ht="14.25" customHeight="1">
      <c r="A280" s="12"/>
      <c r="B280" s="12"/>
      <c r="C280" s="12"/>
      <c r="D280" s="12"/>
      <c r="E280" s="12"/>
      <c r="F280" s="12"/>
    </row>
    <row r="281" ht="14.25" customHeight="1">
      <c r="A281" s="57">
        <v>1.0</v>
      </c>
      <c r="B281" s="57">
        <v>2.0</v>
      </c>
      <c r="C281" s="38">
        <v>3.0</v>
      </c>
      <c r="D281" s="38">
        <v>4.0</v>
      </c>
      <c r="E281" s="149">
        <v>5.0</v>
      </c>
      <c r="F281" s="149">
        <v>6.0</v>
      </c>
    </row>
    <row r="282" ht="14.25" customHeight="1">
      <c r="A282" s="63" t="s">
        <v>54</v>
      </c>
      <c r="B282" s="65" t="s">
        <v>56</v>
      </c>
      <c r="C282" s="38"/>
      <c r="D282" s="38"/>
      <c r="E282" s="78"/>
      <c r="F282" s="78"/>
    </row>
    <row r="283" ht="14.25" customHeight="1">
      <c r="A283" s="57">
        <v>1.0</v>
      </c>
      <c r="B283" s="68" t="s">
        <v>23</v>
      </c>
      <c r="C283" s="38" t="s">
        <v>24</v>
      </c>
      <c r="D283" s="77">
        <v>0.1481</v>
      </c>
      <c r="E283" s="67"/>
      <c r="F283" s="67"/>
    </row>
    <row r="284" ht="14.25" customHeight="1">
      <c r="A284" s="57">
        <v>2.0</v>
      </c>
      <c r="B284" s="46" t="s">
        <v>33</v>
      </c>
      <c r="C284" s="38" t="s">
        <v>24</v>
      </c>
      <c r="D284" s="77">
        <v>0.1481</v>
      </c>
      <c r="E284" s="67"/>
      <c r="F284" s="67"/>
    </row>
    <row r="285" ht="14.25" customHeight="1">
      <c r="A285" s="57">
        <v>3.0</v>
      </c>
      <c r="B285" s="68" t="s">
        <v>42</v>
      </c>
      <c r="C285" s="38" t="s">
        <v>24</v>
      </c>
      <c r="D285" s="77">
        <v>0.0074</v>
      </c>
      <c r="E285" s="67"/>
      <c r="F285" s="67"/>
    </row>
    <row r="286" ht="14.25" customHeight="1">
      <c r="A286" s="73" t="s">
        <v>83</v>
      </c>
      <c r="B286" s="74"/>
      <c r="C286" s="74"/>
      <c r="D286" s="74"/>
      <c r="E286" s="75"/>
      <c r="F286" s="107"/>
    </row>
    <row r="287" ht="14.25" customHeight="1">
      <c r="A287" s="63" t="s">
        <v>90</v>
      </c>
      <c r="B287" s="65" t="s">
        <v>91</v>
      </c>
      <c r="C287" s="38"/>
      <c r="D287" s="77"/>
      <c r="E287" s="78"/>
      <c r="F287" s="67"/>
    </row>
    <row r="288" ht="14.25" customHeight="1">
      <c r="A288" s="57">
        <v>1.0</v>
      </c>
      <c r="B288" s="62" t="s">
        <v>98</v>
      </c>
      <c r="C288" s="64" t="s">
        <v>229</v>
      </c>
      <c r="D288" s="77">
        <v>0.8333</v>
      </c>
      <c r="E288" s="67">
        <f>VLOOKUP(B288,RESOURCE!$C$5:$E$69,3,FALSE)</f>
        <v>500000</v>
      </c>
      <c r="F288" s="67"/>
    </row>
    <row r="289" ht="14.25" customHeight="1">
      <c r="A289" s="73" t="s">
        <v>95</v>
      </c>
      <c r="B289" s="74"/>
      <c r="C289" s="74"/>
      <c r="D289" s="74"/>
      <c r="E289" s="75"/>
      <c r="F289" s="107"/>
    </row>
    <row r="290" ht="14.25" customHeight="1">
      <c r="A290" s="63" t="s">
        <v>99</v>
      </c>
      <c r="B290" s="65" t="s">
        <v>100</v>
      </c>
      <c r="C290" s="38"/>
      <c r="D290" s="38"/>
      <c r="E290" s="78"/>
      <c r="F290" s="67"/>
    </row>
    <row r="291" ht="14.25" customHeight="1">
      <c r="A291" s="73" t="s">
        <v>111</v>
      </c>
      <c r="B291" s="74"/>
      <c r="C291" s="74"/>
      <c r="D291" s="74"/>
      <c r="E291" s="75"/>
      <c r="F291" s="107"/>
    </row>
    <row r="292" ht="14.25" customHeight="1">
      <c r="A292" s="72"/>
      <c r="B292" s="72"/>
      <c r="C292" s="38"/>
      <c r="D292" s="38"/>
      <c r="E292" s="88"/>
      <c r="F292" s="67"/>
    </row>
    <row r="293" ht="14.25" customHeight="1">
      <c r="A293" s="57" t="s">
        <v>115</v>
      </c>
      <c r="B293" s="68" t="s">
        <v>116</v>
      </c>
      <c r="C293" s="38"/>
      <c r="D293" s="38"/>
      <c r="E293" s="88"/>
      <c r="F293" s="67"/>
    </row>
    <row r="294" ht="14.25" customHeight="1">
      <c r="A294" s="57" t="s">
        <v>119</v>
      </c>
      <c r="B294" s="117" t="s">
        <v>120</v>
      </c>
      <c r="C294" s="75"/>
      <c r="D294" s="95">
        <v>0.15</v>
      </c>
      <c r="E294" s="96" t="s">
        <v>173</v>
      </c>
      <c r="F294" s="67"/>
    </row>
    <row r="295" ht="14.25" customHeight="1">
      <c r="A295" s="63" t="s">
        <v>124</v>
      </c>
      <c r="B295" s="65" t="s">
        <v>230</v>
      </c>
      <c r="C295" s="103"/>
      <c r="D295" s="103"/>
      <c r="E295" s="106"/>
      <c r="F295" s="107"/>
    </row>
    <row r="296" ht="14.25" customHeight="1">
      <c r="C296" s="163"/>
      <c r="D296" s="163"/>
    </row>
    <row r="297" ht="14.25" customHeight="1">
      <c r="C297" s="163"/>
      <c r="D297" s="163"/>
    </row>
    <row r="298" ht="14.25" customHeight="1">
      <c r="A298" s="48" t="s">
        <v>231</v>
      </c>
      <c r="B298" s="31"/>
      <c r="C298" s="31"/>
      <c r="D298" s="31"/>
      <c r="E298" s="31"/>
      <c r="F298" s="32"/>
    </row>
    <row r="299" ht="15.0" customHeight="1">
      <c r="A299" s="122" t="s">
        <v>4</v>
      </c>
      <c r="B299" s="50" t="s">
        <v>32</v>
      </c>
      <c r="C299" s="50" t="s">
        <v>8</v>
      </c>
      <c r="D299" s="50" t="s">
        <v>35</v>
      </c>
      <c r="E299" s="51" t="s">
        <v>39</v>
      </c>
      <c r="F299" s="123" t="s">
        <v>43</v>
      </c>
    </row>
    <row r="300" ht="15.0" customHeight="1">
      <c r="A300" s="124"/>
      <c r="B300" s="12"/>
      <c r="C300" s="12"/>
      <c r="D300" s="12"/>
      <c r="E300" s="12"/>
      <c r="F300" s="125"/>
    </row>
    <row r="301" ht="14.25" customHeight="1">
      <c r="A301" s="126">
        <v>1.0</v>
      </c>
      <c r="B301" s="57">
        <v>2.0</v>
      </c>
      <c r="C301" s="38">
        <v>3.0</v>
      </c>
      <c r="D301" s="38">
        <v>4.0</v>
      </c>
      <c r="E301" s="149">
        <v>5.0</v>
      </c>
      <c r="F301" s="150">
        <v>6.0</v>
      </c>
    </row>
    <row r="302" ht="14.25" customHeight="1">
      <c r="A302" s="137" t="s">
        <v>54</v>
      </c>
      <c r="B302" s="65" t="s">
        <v>56</v>
      </c>
      <c r="C302" s="38"/>
      <c r="D302" s="38"/>
      <c r="E302" s="78"/>
      <c r="F302" s="151"/>
    </row>
    <row r="303" ht="14.25" customHeight="1">
      <c r="A303" s="126">
        <v>1.0</v>
      </c>
      <c r="B303" s="68" t="s">
        <v>23</v>
      </c>
      <c r="C303" s="38" t="s">
        <v>24</v>
      </c>
      <c r="D303" s="77">
        <v>1.0</v>
      </c>
      <c r="E303" s="67"/>
      <c r="F303" s="128"/>
    </row>
    <row r="304" ht="14.25" customHeight="1">
      <c r="A304" s="126">
        <v>2.0</v>
      </c>
      <c r="B304" s="46" t="s">
        <v>33</v>
      </c>
      <c r="C304" s="38" t="s">
        <v>24</v>
      </c>
      <c r="D304" s="77">
        <v>0.25</v>
      </c>
      <c r="E304" s="67"/>
      <c r="F304" s="128"/>
    </row>
    <row r="305" ht="14.25" customHeight="1">
      <c r="A305" s="126">
        <v>3.0</v>
      </c>
      <c r="B305" s="68" t="s">
        <v>210</v>
      </c>
      <c r="C305" s="38" t="s">
        <v>24</v>
      </c>
      <c r="D305" s="77">
        <v>0.025</v>
      </c>
      <c r="E305" s="67"/>
      <c r="F305" s="128"/>
    </row>
    <row r="306" ht="14.25" customHeight="1">
      <c r="A306" s="126">
        <v>4.0</v>
      </c>
      <c r="B306" s="68" t="s">
        <v>42</v>
      </c>
      <c r="C306" s="38" t="s">
        <v>24</v>
      </c>
      <c r="D306" s="77">
        <v>0.1</v>
      </c>
      <c r="E306" s="67"/>
      <c r="F306" s="128"/>
    </row>
    <row r="307" ht="15.75" customHeight="1">
      <c r="A307" s="133" t="s">
        <v>83</v>
      </c>
      <c r="B307" s="74"/>
      <c r="C307" s="74"/>
      <c r="D307" s="74"/>
      <c r="E307" s="75"/>
      <c r="F307" s="138"/>
    </row>
    <row r="308" ht="14.25" customHeight="1">
      <c r="A308" s="137" t="s">
        <v>90</v>
      </c>
      <c r="B308" s="65" t="s">
        <v>91</v>
      </c>
      <c r="C308" s="38"/>
      <c r="D308" s="77"/>
      <c r="E308" s="78"/>
      <c r="F308" s="128"/>
    </row>
    <row r="309" ht="14.25" customHeight="1">
      <c r="A309" s="126">
        <v>1.0</v>
      </c>
      <c r="B309" s="68" t="s">
        <v>77</v>
      </c>
      <c r="C309" s="38" t="s">
        <v>206</v>
      </c>
      <c r="D309" s="77">
        <v>267.0</v>
      </c>
      <c r="E309" s="67"/>
      <c r="F309" s="128"/>
    </row>
    <row r="310" ht="14.25" customHeight="1">
      <c r="A310" s="126">
        <v>2.0</v>
      </c>
      <c r="B310" s="68" t="s">
        <v>232</v>
      </c>
      <c r="C310" s="38" t="s">
        <v>206</v>
      </c>
      <c r="D310" s="77">
        <v>871.0</v>
      </c>
      <c r="E310" s="67"/>
      <c r="F310" s="128"/>
    </row>
    <row r="311" ht="14.25" customHeight="1">
      <c r="A311" s="126">
        <v>3.0</v>
      </c>
      <c r="B311" s="68" t="s">
        <v>79</v>
      </c>
      <c r="C311" s="64" t="s">
        <v>206</v>
      </c>
      <c r="D311" s="77">
        <v>1009.0</v>
      </c>
      <c r="E311" s="67"/>
      <c r="F311" s="128"/>
    </row>
    <row r="312" ht="14.25" customHeight="1">
      <c r="A312" s="126">
        <v>4.0</v>
      </c>
      <c r="B312" s="68" t="s">
        <v>80</v>
      </c>
      <c r="C312" s="64" t="s">
        <v>226</v>
      </c>
      <c r="D312" s="77">
        <v>202.0</v>
      </c>
      <c r="E312" s="67"/>
      <c r="F312" s="128"/>
    </row>
    <row r="313" ht="15.75" customHeight="1">
      <c r="A313" s="133" t="s">
        <v>95</v>
      </c>
      <c r="B313" s="74"/>
      <c r="C313" s="74"/>
      <c r="D313" s="74"/>
      <c r="E313" s="75"/>
      <c r="F313" s="138"/>
    </row>
    <row r="314" ht="14.25" customHeight="1">
      <c r="A314" s="137" t="s">
        <v>99</v>
      </c>
      <c r="B314" s="65" t="s">
        <v>100</v>
      </c>
      <c r="C314" s="38"/>
      <c r="D314" s="38"/>
      <c r="E314" s="78"/>
      <c r="F314" s="128"/>
    </row>
    <row r="315" ht="15.75" customHeight="1">
      <c r="A315" s="133" t="s">
        <v>111</v>
      </c>
      <c r="B315" s="74"/>
      <c r="C315" s="74"/>
      <c r="D315" s="74"/>
      <c r="E315" s="75"/>
      <c r="F315" s="138"/>
    </row>
    <row r="316" ht="14.25" customHeight="1">
      <c r="A316" s="152"/>
      <c r="B316" s="72"/>
      <c r="C316" s="38"/>
      <c r="D316" s="38"/>
      <c r="E316" s="88"/>
      <c r="F316" s="128"/>
    </row>
    <row r="317" ht="14.25" customHeight="1">
      <c r="A317" s="126" t="s">
        <v>115</v>
      </c>
      <c r="B317" s="68" t="s">
        <v>116</v>
      </c>
      <c r="C317" s="38"/>
      <c r="D317" s="38"/>
      <c r="E317" s="88"/>
      <c r="F317" s="128"/>
    </row>
    <row r="318" ht="15.75" customHeight="1">
      <c r="A318" s="126" t="s">
        <v>119</v>
      </c>
      <c r="B318" s="117" t="s">
        <v>120</v>
      </c>
      <c r="C318" s="75"/>
      <c r="D318" s="95">
        <f>D294</f>
        <v>0.15</v>
      </c>
      <c r="E318" s="96" t="s">
        <v>173</v>
      </c>
      <c r="F318" s="128"/>
    </row>
    <row r="319" ht="14.25" customHeight="1">
      <c r="A319" s="137" t="s">
        <v>124</v>
      </c>
      <c r="B319" s="65" t="s">
        <v>233</v>
      </c>
      <c r="C319" s="103"/>
      <c r="D319" s="103"/>
      <c r="E319" s="106"/>
      <c r="F319" s="138"/>
    </row>
    <row r="320" ht="14.25" customHeight="1">
      <c r="A320" s="139"/>
      <c r="B320" s="140" t="s">
        <v>135</v>
      </c>
      <c r="C320" s="141"/>
      <c r="D320" s="142"/>
      <c r="E320" s="143"/>
      <c r="F320" s="144"/>
    </row>
    <row r="321" ht="14.25" customHeight="1">
      <c r="C321" s="163"/>
      <c r="D321" s="163"/>
    </row>
    <row r="322" ht="14.25" customHeight="1">
      <c r="A322" s="48" t="s">
        <v>234</v>
      </c>
      <c r="B322" s="31"/>
      <c r="C322" s="31"/>
      <c r="D322" s="31"/>
      <c r="E322" s="31"/>
      <c r="F322" s="32"/>
    </row>
    <row r="323" ht="14.25" customHeight="1">
      <c r="A323" s="122" t="s">
        <v>4</v>
      </c>
      <c r="B323" s="50" t="s">
        <v>32</v>
      </c>
      <c r="C323" s="50" t="s">
        <v>8</v>
      </c>
      <c r="D323" s="50" t="s">
        <v>35</v>
      </c>
      <c r="E323" s="51" t="s">
        <v>39</v>
      </c>
      <c r="F323" s="123" t="s">
        <v>43</v>
      </c>
    </row>
    <row r="324" ht="14.25" customHeight="1">
      <c r="A324" s="124"/>
      <c r="B324" s="12"/>
      <c r="C324" s="12"/>
      <c r="D324" s="12"/>
      <c r="E324" s="12"/>
      <c r="F324" s="125"/>
    </row>
    <row r="325" ht="14.25" customHeight="1">
      <c r="A325" s="126">
        <v>1.0</v>
      </c>
      <c r="B325" s="57">
        <v>2.0</v>
      </c>
      <c r="C325" s="38">
        <v>3.0</v>
      </c>
      <c r="D325" s="38">
        <v>4.0</v>
      </c>
      <c r="E325" s="149">
        <v>5.0</v>
      </c>
      <c r="F325" s="150"/>
    </row>
    <row r="326" ht="14.25" customHeight="1">
      <c r="A326" s="137" t="s">
        <v>54</v>
      </c>
      <c r="B326" s="65" t="s">
        <v>56</v>
      </c>
      <c r="C326" s="38"/>
      <c r="D326" s="38"/>
      <c r="E326" s="78"/>
      <c r="F326" s="151"/>
    </row>
    <row r="327" ht="14.25" customHeight="1">
      <c r="A327" s="126">
        <v>1.0</v>
      </c>
      <c r="B327" s="68" t="s">
        <v>23</v>
      </c>
      <c r="C327" s="38" t="s">
        <v>24</v>
      </c>
      <c r="D327" s="77">
        <v>0.5</v>
      </c>
      <c r="E327" s="67"/>
      <c r="F327" s="128"/>
    </row>
    <row r="328" ht="14.25" customHeight="1">
      <c r="A328" s="126">
        <v>2.0</v>
      </c>
      <c r="B328" s="68" t="s">
        <v>42</v>
      </c>
      <c r="C328" s="38" t="s">
        <v>24</v>
      </c>
      <c r="D328" s="77">
        <v>0.025</v>
      </c>
      <c r="E328" s="67"/>
      <c r="F328" s="128"/>
    </row>
    <row r="329" ht="14.25" customHeight="1">
      <c r="A329" s="133" t="s">
        <v>83</v>
      </c>
      <c r="B329" s="74"/>
      <c r="C329" s="74"/>
      <c r="D329" s="74"/>
      <c r="E329" s="75"/>
      <c r="F329" s="138"/>
    </row>
    <row r="330" ht="14.25" customHeight="1">
      <c r="A330" s="137" t="s">
        <v>90</v>
      </c>
      <c r="B330" s="65" t="s">
        <v>91</v>
      </c>
      <c r="C330" s="38"/>
      <c r="D330" s="77"/>
      <c r="E330" s="78"/>
      <c r="F330" s="128"/>
    </row>
    <row r="331" ht="14.25" customHeight="1">
      <c r="A331" s="133" t="s">
        <v>95</v>
      </c>
      <c r="B331" s="74"/>
      <c r="C331" s="74"/>
      <c r="D331" s="74"/>
      <c r="E331" s="75"/>
      <c r="F331" s="138"/>
    </row>
    <row r="332" ht="14.25" customHeight="1">
      <c r="A332" s="137" t="s">
        <v>99</v>
      </c>
      <c r="B332" s="65" t="s">
        <v>100</v>
      </c>
      <c r="C332" s="38"/>
      <c r="D332" s="38"/>
      <c r="E332" s="78"/>
      <c r="F332" s="128"/>
    </row>
    <row r="333" ht="14.25" customHeight="1">
      <c r="A333" s="126"/>
      <c r="B333" s="68"/>
      <c r="C333" s="38"/>
      <c r="D333" s="38"/>
      <c r="E333" s="67">
        <v>0.0</v>
      </c>
      <c r="F333" s="128"/>
    </row>
    <row r="334" ht="14.25" customHeight="1">
      <c r="A334" s="133" t="s">
        <v>111</v>
      </c>
      <c r="B334" s="74"/>
      <c r="C334" s="74"/>
      <c r="D334" s="74"/>
      <c r="E334" s="75"/>
      <c r="F334" s="138"/>
    </row>
    <row r="335" ht="14.25" customHeight="1">
      <c r="A335" s="152"/>
      <c r="B335" s="72"/>
      <c r="C335" s="38"/>
      <c r="D335" s="38"/>
      <c r="E335" s="88"/>
      <c r="F335" s="128"/>
    </row>
    <row r="336" ht="14.25" customHeight="1">
      <c r="A336" s="126" t="s">
        <v>115</v>
      </c>
      <c r="B336" s="68" t="s">
        <v>116</v>
      </c>
      <c r="C336" s="38"/>
      <c r="D336" s="38"/>
      <c r="E336" s="88"/>
      <c r="F336" s="128"/>
    </row>
    <row r="337" ht="14.25" customHeight="1">
      <c r="A337" s="126" t="s">
        <v>119</v>
      </c>
      <c r="B337" s="117" t="s">
        <v>120</v>
      </c>
      <c r="C337" s="75"/>
      <c r="D337" s="95">
        <v>0.15</v>
      </c>
      <c r="E337" s="96" t="s">
        <v>173</v>
      </c>
      <c r="F337" s="128"/>
    </row>
    <row r="338" ht="14.25" customHeight="1">
      <c r="A338" s="137" t="s">
        <v>124</v>
      </c>
      <c r="B338" s="65" t="s">
        <v>235</v>
      </c>
      <c r="C338" s="103"/>
      <c r="D338" s="103"/>
      <c r="E338" s="106"/>
      <c r="F338" s="138"/>
    </row>
    <row r="339" ht="14.25" customHeight="1">
      <c r="A339" s="139"/>
      <c r="B339" s="140" t="s">
        <v>135</v>
      </c>
      <c r="C339" s="141"/>
      <c r="D339" s="142"/>
      <c r="E339" s="143"/>
      <c r="F339" s="144"/>
    </row>
    <row r="340" ht="14.25" customHeight="1">
      <c r="C340" s="163"/>
      <c r="D340" s="163"/>
    </row>
    <row r="341" ht="14.25" customHeight="1">
      <c r="C341" s="163"/>
      <c r="D341" s="163"/>
    </row>
    <row r="342" ht="14.25" customHeight="1">
      <c r="C342" s="163"/>
      <c r="D342" s="163"/>
    </row>
    <row r="343" ht="14.25" customHeight="1">
      <c r="C343" s="163"/>
      <c r="D343" s="163"/>
    </row>
    <row r="344" ht="14.25" customHeight="1">
      <c r="C344" s="163"/>
      <c r="D344" s="163"/>
    </row>
    <row r="345" ht="14.25" customHeight="1">
      <c r="C345" s="163"/>
      <c r="D345" s="163"/>
    </row>
    <row r="346" ht="14.25" customHeight="1">
      <c r="C346" s="163"/>
      <c r="D346" s="163"/>
    </row>
    <row r="347" ht="14.25" customHeight="1">
      <c r="C347" s="163"/>
      <c r="D347" s="163"/>
    </row>
    <row r="348" ht="14.25" customHeight="1">
      <c r="C348" s="163"/>
      <c r="D348" s="163"/>
    </row>
    <row r="349" ht="14.25" customHeight="1">
      <c r="C349" s="163"/>
      <c r="D349" s="163"/>
    </row>
    <row r="350" ht="14.25" customHeight="1">
      <c r="C350" s="163"/>
      <c r="D350" s="163"/>
    </row>
    <row r="351" ht="14.25" customHeight="1">
      <c r="C351" s="163"/>
      <c r="D351" s="163"/>
    </row>
    <row r="352" ht="14.25" customHeight="1">
      <c r="C352" s="163"/>
      <c r="D352" s="163"/>
    </row>
    <row r="353" ht="14.25" customHeight="1">
      <c r="C353" s="163"/>
      <c r="D353" s="163"/>
    </row>
    <row r="354" ht="14.25" customHeight="1">
      <c r="C354" s="163"/>
      <c r="D354" s="163"/>
    </row>
    <row r="355" ht="14.25" customHeight="1">
      <c r="C355" s="163"/>
      <c r="D355" s="163"/>
    </row>
    <row r="356" ht="14.25" customHeight="1">
      <c r="C356" s="163"/>
      <c r="D356" s="163"/>
    </row>
    <row r="357" ht="14.25" customHeight="1">
      <c r="C357" s="163"/>
      <c r="D357" s="163"/>
    </row>
    <row r="358" ht="14.25" customHeight="1">
      <c r="C358" s="163"/>
      <c r="D358" s="163"/>
    </row>
    <row r="359" ht="14.25" customHeight="1">
      <c r="C359" s="163"/>
      <c r="D359" s="163"/>
    </row>
    <row r="360" ht="14.25" customHeight="1">
      <c r="C360" s="163"/>
      <c r="D360" s="163"/>
    </row>
    <row r="361" ht="14.25" customHeight="1">
      <c r="C361" s="163"/>
      <c r="D361" s="163"/>
    </row>
    <row r="362" ht="14.25" customHeight="1">
      <c r="C362" s="163"/>
      <c r="D362" s="163"/>
    </row>
    <row r="363" ht="14.25" customHeight="1">
      <c r="C363" s="163"/>
      <c r="D363" s="163"/>
    </row>
    <row r="364" ht="14.25" customHeight="1">
      <c r="C364" s="163"/>
      <c r="D364" s="163"/>
    </row>
    <row r="365" ht="14.25" customHeight="1">
      <c r="C365" s="163"/>
      <c r="D365" s="163"/>
    </row>
    <row r="366" ht="14.25" customHeight="1">
      <c r="C366" s="163"/>
      <c r="D366" s="163"/>
    </row>
    <row r="367" ht="14.25" customHeight="1">
      <c r="C367" s="163"/>
      <c r="D367" s="163"/>
    </row>
    <row r="368" ht="14.25" customHeight="1">
      <c r="C368" s="163"/>
      <c r="D368" s="163"/>
    </row>
    <row r="369" ht="14.25" customHeight="1">
      <c r="C369" s="163"/>
      <c r="D369" s="163"/>
    </row>
    <row r="370" ht="14.25" customHeight="1">
      <c r="C370" s="163"/>
      <c r="D370" s="163"/>
    </row>
    <row r="371" ht="14.25" customHeight="1">
      <c r="C371" s="163"/>
      <c r="D371" s="163"/>
    </row>
    <row r="372" ht="14.25" customHeight="1">
      <c r="C372" s="163"/>
      <c r="D372" s="163"/>
    </row>
    <row r="373" ht="14.25" customHeight="1">
      <c r="C373" s="163"/>
      <c r="D373" s="163"/>
    </row>
    <row r="374" ht="14.25" customHeight="1">
      <c r="C374" s="163"/>
      <c r="D374" s="163"/>
    </row>
    <row r="375" ht="14.25" customHeight="1">
      <c r="C375" s="163"/>
      <c r="D375" s="163"/>
    </row>
    <row r="376" ht="14.25" customHeight="1">
      <c r="C376" s="163"/>
      <c r="D376" s="163"/>
    </row>
    <row r="377" ht="14.25" customHeight="1">
      <c r="C377" s="163"/>
      <c r="D377" s="163"/>
    </row>
    <row r="378" ht="14.25" customHeight="1">
      <c r="C378" s="163"/>
      <c r="D378" s="163"/>
    </row>
    <row r="379" ht="14.25" customHeight="1">
      <c r="C379" s="163"/>
      <c r="D379" s="163"/>
    </row>
    <row r="380" ht="14.25" customHeight="1">
      <c r="C380" s="163"/>
      <c r="D380" s="163"/>
    </row>
    <row r="381" ht="14.25" customHeight="1">
      <c r="C381" s="163"/>
      <c r="D381" s="163"/>
    </row>
    <row r="382" ht="14.25" customHeight="1">
      <c r="C382" s="163"/>
      <c r="D382" s="163"/>
    </row>
    <row r="383" ht="14.25" customHeight="1">
      <c r="C383" s="163"/>
      <c r="D383" s="163"/>
    </row>
    <row r="384" ht="14.25" customHeight="1">
      <c r="C384" s="163"/>
      <c r="D384" s="163"/>
    </row>
    <row r="385" ht="14.25" customHeight="1">
      <c r="C385" s="163"/>
      <c r="D385" s="163"/>
    </row>
    <row r="386" ht="14.25" customHeight="1">
      <c r="C386" s="163"/>
      <c r="D386" s="163"/>
    </row>
    <row r="387" ht="14.25" customHeight="1">
      <c r="C387" s="163"/>
      <c r="D387" s="163"/>
    </row>
    <row r="388" ht="14.25" customHeight="1">
      <c r="C388" s="163"/>
      <c r="D388" s="163"/>
    </row>
    <row r="389" ht="14.25" customHeight="1">
      <c r="C389" s="163"/>
      <c r="D389" s="163"/>
    </row>
    <row r="390" ht="14.25" customHeight="1">
      <c r="C390" s="163"/>
      <c r="D390" s="163"/>
    </row>
    <row r="391" ht="14.25" customHeight="1">
      <c r="C391" s="163"/>
      <c r="D391" s="163"/>
    </row>
    <row r="392" ht="14.25" customHeight="1">
      <c r="C392" s="163"/>
      <c r="D392" s="163"/>
    </row>
    <row r="393" ht="14.25" customHeight="1">
      <c r="C393" s="163"/>
      <c r="D393" s="163"/>
    </row>
    <row r="394" ht="14.25" customHeight="1">
      <c r="C394" s="163"/>
      <c r="D394" s="163"/>
    </row>
    <row r="395" ht="14.25" customHeight="1">
      <c r="C395" s="163"/>
      <c r="D395" s="163"/>
    </row>
    <row r="396" ht="14.25" customHeight="1">
      <c r="C396" s="163"/>
      <c r="D396" s="163"/>
    </row>
    <row r="397" ht="14.25" customHeight="1">
      <c r="C397" s="163"/>
      <c r="D397" s="163"/>
    </row>
    <row r="398" ht="14.25" customHeight="1">
      <c r="C398" s="163"/>
      <c r="D398" s="163"/>
    </row>
    <row r="399" ht="14.25" customHeight="1">
      <c r="C399" s="163"/>
      <c r="D399" s="163"/>
    </row>
    <row r="400" ht="14.25" customHeight="1">
      <c r="C400" s="163"/>
      <c r="D400" s="163"/>
    </row>
    <row r="401" ht="14.25" customHeight="1">
      <c r="C401" s="163"/>
      <c r="D401" s="163"/>
    </row>
    <row r="402" ht="14.25" customHeight="1">
      <c r="C402" s="163"/>
      <c r="D402" s="163"/>
    </row>
    <row r="403" ht="14.25" customHeight="1">
      <c r="C403" s="163"/>
      <c r="D403" s="163"/>
    </row>
    <row r="404" ht="14.25" customHeight="1">
      <c r="C404" s="163"/>
      <c r="D404" s="163"/>
    </row>
    <row r="405" ht="14.25" customHeight="1">
      <c r="C405" s="163"/>
      <c r="D405" s="163"/>
    </row>
    <row r="406" ht="14.25" customHeight="1">
      <c r="C406" s="163"/>
      <c r="D406" s="163"/>
    </row>
    <row r="407" ht="14.25" customHeight="1">
      <c r="C407" s="163"/>
      <c r="D407" s="163"/>
    </row>
    <row r="408" ht="14.25" customHeight="1">
      <c r="C408" s="163"/>
      <c r="D408" s="163"/>
    </row>
    <row r="409" ht="14.25" customHeight="1">
      <c r="C409" s="163"/>
      <c r="D409" s="163"/>
    </row>
    <row r="410" ht="14.25" customHeight="1">
      <c r="C410" s="163"/>
      <c r="D410" s="163"/>
    </row>
    <row r="411" ht="14.25" customHeight="1">
      <c r="C411" s="163"/>
      <c r="D411" s="163"/>
    </row>
    <row r="412" ht="14.25" customHeight="1">
      <c r="C412" s="163"/>
      <c r="D412" s="163"/>
    </row>
    <row r="413" ht="14.25" customHeight="1">
      <c r="C413" s="163"/>
      <c r="D413" s="163"/>
    </row>
    <row r="414" ht="14.25" customHeight="1">
      <c r="C414" s="163"/>
      <c r="D414" s="163"/>
    </row>
    <row r="415" ht="14.25" customHeight="1">
      <c r="C415" s="163"/>
      <c r="D415" s="163"/>
    </row>
    <row r="416" ht="14.25" customHeight="1">
      <c r="C416" s="163"/>
      <c r="D416" s="163"/>
    </row>
    <row r="417" ht="14.25" customHeight="1">
      <c r="C417" s="163"/>
      <c r="D417" s="163"/>
    </row>
    <row r="418" ht="14.25" customHeight="1">
      <c r="C418" s="163"/>
      <c r="D418" s="163"/>
    </row>
    <row r="419" ht="14.25" customHeight="1">
      <c r="C419" s="163"/>
      <c r="D419" s="163"/>
    </row>
    <row r="420" ht="14.25" customHeight="1">
      <c r="C420" s="163"/>
      <c r="D420" s="163"/>
    </row>
    <row r="421" ht="14.25" customHeight="1">
      <c r="C421" s="163"/>
      <c r="D421" s="163"/>
    </row>
    <row r="422" ht="14.25" customHeight="1">
      <c r="C422" s="163"/>
      <c r="D422" s="163"/>
    </row>
    <row r="423" ht="14.25" customHeight="1">
      <c r="C423" s="163"/>
      <c r="D423" s="163"/>
    </row>
    <row r="424" ht="14.25" customHeight="1">
      <c r="C424" s="163"/>
      <c r="D424" s="163"/>
    </row>
    <row r="425" ht="14.25" customHeight="1">
      <c r="C425" s="163"/>
      <c r="D425" s="163"/>
    </row>
    <row r="426" ht="14.25" customHeight="1">
      <c r="C426" s="163"/>
      <c r="D426" s="163"/>
    </row>
    <row r="427" ht="14.25" customHeight="1">
      <c r="C427" s="163"/>
      <c r="D427" s="163"/>
    </row>
    <row r="428" ht="14.25" customHeight="1">
      <c r="C428" s="163"/>
      <c r="D428" s="163"/>
    </row>
    <row r="429" ht="14.25" customHeight="1">
      <c r="C429" s="163"/>
      <c r="D429" s="163"/>
    </row>
    <row r="430" ht="14.25" customHeight="1">
      <c r="C430" s="163"/>
      <c r="D430" s="163"/>
    </row>
    <row r="431" ht="14.25" customHeight="1">
      <c r="C431" s="163"/>
      <c r="D431" s="163"/>
    </row>
    <row r="432" ht="14.25" customHeight="1">
      <c r="C432" s="163"/>
      <c r="D432" s="163"/>
    </row>
    <row r="433" ht="14.25" customHeight="1">
      <c r="C433" s="163"/>
      <c r="D433" s="163"/>
    </row>
    <row r="434" ht="14.25" customHeight="1">
      <c r="C434" s="163"/>
      <c r="D434" s="163"/>
    </row>
    <row r="435" ht="14.25" customHeight="1">
      <c r="C435" s="163"/>
      <c r="D435" s="163"/>
    </row>
    <row r="436" ht="14.25" customHeight="1">
      <c r="C436" s="163"/>
      <c r="D436" s="163"/>
    </row>
    <row r="437" ht="14.25" customHeight="1">
      <c r="C437" s="163"/>
      <c r="D437" s="163"/>
    </row>
    <row r="438" ht="14.25" customHeight="1">
      <c r="C438" s="163"/>
      <c r="D438" s="163"/>
    </row>
    <row r="439" ht="14.25" customHeight="1">
      <c r="C439" s="163"/>
      <c r="D439" s="163"/>
    </row>
    <row r="440" ht="14.25" customHeight="1">
      <c r="C440" s="163"/>
      <c r="D440" s="163"/>
    </row>
    <row r="441" ht="14.25" customHeight="1">
      <c r="C441" s="163"/>
      <c r="D441" s="163"/>
    </row>
    <row r="442" ht="14.25" customHeight="1">
      <c r="C442" s="163"/>
      <c r="D442" s="163"/>
    </row>
    <row r="443" ht="14.25" customHeight="1">
      <c r="C443" s="163"/>
      <c r="D443" s="163"/>
    </row>
    <row r="444" ht="14.25" customHeight="1">
      <c r="C444" s="163"/>
      <c r="D444" s="163"/>
    </row>
    <row r="445" ht="14.25" customHeight="1">
      <c r="C445" s="163"/>
      <c r="D445" s="163"/>
    </row>
    <row r="446" ht="14.25" customHeight="1">
      <c r="C446" s="163"/>
      <c r="D446" s="163"/>
    </row>
    <row r="447" ht="14.25" customHeight="1">
      <c r="C447" s="163"/>
      <c r="D447" s="163"/>
    </row>
    <row r="448" ht="14.25" customHeight="1">
      <c r="C448" s="163"/>
      <c r="D448" s="163"/>
    </row>
    <row r="449" ht="14.25" customHeight="1">
      <c r="C449" s="163"/>
      <c r="D449" s="163"/>
    </row>
    <row r="450" ht="14.25" customHeight="1">
      <c r="C450" s="163"/>
      <c r="D450" s="163"/>
    </row>
    <row r="451" ht="14.25" customHeight="1">
      <c r="C451" s="163"/>
      <c r="D451" s="163"/>
    </row>
    <row r="452" ht="14.25" customHeight="1">
      <c r="C452" s="163"/>
      <c r="D452" s="163"/>
    </row>
    <row r="453" ht="14.25" customHeight="1">
      <c r="C453" s="163"/>
      <c r="D453" s="163"/>
    </row>
    <row r="454" ht="14.25" customHeight="1">
      <c r="C454" s="163"/>
      <c r="D454" s="163"/>
    </row>
    <row r="455" ht="14.25" customHeight="1">
      <c r="C455" s="163"/>
      <c r="D455" s="163"/>
    </row>
    <row r="456" ht="14.25" customHeight="1">
      <c r="C456" s="163"/>
      <c r="D456" s="163"/>
    </row>
    <row r="457" ht="14.25" customHeight="1">
      <c r="C457" s="163"/>
      <c r="D457" s="163"/>
    </row>
    <row r="458" ht="14.25" customHeight="1">
      <c r="C458" s="163"/>
      <c r="D458" s="163"/>
    </row>
    <row r="459" ht="14.25" customHeight="1">
      <c r="C459" s="163"/>
      <c r="D459" s="163"/>
    </row>
    <row r="460" ht="14.25" customHeight="1">
      <c r="C460" s="163"/>
      <c r="D460" s="163"/>
    </row>
    <row r="461" ht="14.25" customHeight="1">
      <c r="C461" s="163"/>
      <c r="D461" s="163"/>
    </row>
    <row r="462" ht="14.25" customHeight="1">
      <c r="C462" s="163"/>
      <c r="D462" s="163"/>
    </row>
    <row r="463" ht="14.25" customHeight="1">
      <c r="C463" s="163"/>
      <c r="D463" s="163"/>
    </row>
    <row r="464" ht="14.25" customHeight="1">
      <c r="C464" s="163"/>
      <c r="D464" s="163"/>
    </row>
    <row r="465" ht="14.25" customHeight="1">
      <c r="C465" s="163"/>
      <c r="D465" s="163"/>
    </row>
    <row r="466" ht="14.25" customHeight="1">
      <c r="C466" s="163"/>
      <c r="D466" s="163"/>
    </row>
    <row r="467" ht="14.25" customHeight="1">
      <c r="C467" s="163"/>
      <c r="D467" s="163"/>
    </row>
    <row r="468" ht="14.25" customHeight="1">
      <c r="C468" s="163"/>
      <c r="D468" s="163"/>
    </row>
    <row r="469" ht="14.25" customHeight="1">
      <c r="C469" s="163"/>
      <c r="D469" s="163"/>
    </row>
    <row r="470" ht="14.25" customHeight="1">
      <c r="C470" s="163"/>
      <c r="D470" s="163"/>
    </row>
    <row r="471" ht="14.25" customHeight="1">
      <c r="C471" s="163"/>
      <c r="D471" s="163"/>
    </row>
    <row r="472" ht="14.25" customHeight="1">
      <c r="C472" s="163"/>
      <c r="D472" s="163"/>
    </row>
    <row r="473" ht="14.25" customHeight="1">
      <c r="C473" s="163"/>
      <c r="D473" s="163"/>
    </row>
    <row r="474" ht="14.25" customHeight="1">
      <c r="C474" s="163"/>
      <c r="D474" s="163"/>
    </row>
    <row r="475" ht="14.25" customHeight="1">
      <c r="C475" s="163"/>
      <c r="D475" s="163"/>
    </row>
    <row r="476" ht="14.25" customHeight="1">
      <c r="C476" s="163"/>
      <c r="D476" s="163"/>
    </row>
    <row r="477" ht="14.25" customHeight="1">
      <c r="C477" s="163"/>
      <c r="D477" s="163"/>
    </row>
    <row r="478" ht="14.25" customHeight="1">
      <c r="C478" s="163"/>
      <c r="D478" s="163"/>
    </row>
    <row r="479" ht="14.25" customHeight="1">
      <c r="C479" s="163"/>
      <c r="D479" s="163"/>
    </row>
    <row r="480" ht="14.25" customHeight="1">
      <c r="C480" s="163"/>
      <c r="D480" s="163"/>
    </row>
    <row r="481" ht="14.25" customHeight="1">
      <c r="C481" s="163"/>
      <c r="D481" s="163"/>
    </row>
    <row r="482" ht="14.25" customHeight="1">
      <c r="C482" s="163"/>
      <c r="D482" s="163"/>
    </row>
    <row r="483" ht="14.25" customHeight="1">
      <c r="C483" s="163"/>
      <c r="D483" s="163"/>
    </row>
    <row r="484" ht="14.25" customHeight="1">
      <c r="C484" s="163"/>
      <c r="D484" s="163"/>
    </row>
    <row r="485" ht="14.25" customHeight="1">
      <c r="C485" s="163"/>
      <c r="D485" s="163"/>
    </row>
    <row r="486" ht="14.25" customHeight="1">
      <c r="C486" s="163"/>
      <c r="D486" s="163"/>
    </row>
    <row r="487" ht="14.25" customHeight="1">
      <c r="C487" s="163"/>
      <c r="D487" s="163"/>
    </row>
    <row r="488" ht="14.25" customHeight="1">
      <c r="C488" s="163"/>
      <c r="D488" s="163"/>
    </row>
    <row r="489" ht="14.25" customHeight="1">
      <c r="C489" s="163"/>
      <c r="D489" s="163"/>
    </row>
    <row r="490" ht="14.25" customHeight="1">
      <c r="C490" s="163"/>
      <c r="D490" s="163"/>
    </row>
    <row r="491" ht="14.25" customHeight="1">
      <c r="C491" s="163"/>
      <c r="D491" s="163"/>
    </row>
    <row r="492" ht="14.25" customHeight="1">
      <c r="C492" s="163"/>
      <c r="D492" s="163"/>
    </row>
    <row r="493" ht="14.25" customHeight="1">
      <c r="C493" s="163"/>
      <c r="D493" s="163"/>
    </row>
    <row r="494" ht="14.25" customHeight="1">
      <c r="C494" s="163"/>
      <c r="D494" s="163"/>
    </row>
    <row r="495" ht="14.25" customHeight="1">
      <c r="C495" s="163"/>
      <c r="D495" s="163"/>
    </row>
    <row r="496" ht="14.25" customHeight="1">
      <c r="C496" s="163"/>
      <c r="D496" s="163"/>
    </row>
    <row r="497" ht="14.25" customHeight="1">
      <c r="C497" s="163"/>
      <c r="D497" s="163"/>
    </row>
    <row r="498" ht="14.25" customHeight="1">
      <c r="C498" s="163"/>
      <c r="D498" s="163"/>
    </row>
    <row r="499" ht="14.25" customHeight="1">
      <c r="C499" s="163"/>
      <c r="D499" s="163"/>
    </row>
    <row r="500" ht="14.25" customHeight="1">
      <c r="C500" s="163"/>
      <c r="D500" s="163"/>
    </row>
    <row r="501" ht="14.25" customHeight="1">
      <c r="C501" s="163"/>
      <c r="D501" s="163"/>
    </row>
    <row r="502" ht="14.25" customHeight="1">
      <c r="C502" s="163"/>
      <c r="D502" s="163"/>
    </row>
    <row r="503" ht="14.25" customHeight="1">
      <c r="C503" s="163"/>
      <c r="D503" s="163"/>
    </row>
    <row r="504" ht="14.25" customHeight="1">
      <c r="C504" s="163"/>
      <c r="D504" s="163"/>
    </row>
    <row r="505" ht="14.25" customHeight="1">
      <c r="C505" s="163"/>
      <c r="D505" s="163"/>
    </row>
    <row r="506" ht="14.25" customHeight="1">
      <c r="C506" s="163"/>
      <c r="D506" s="163"/>
    </row>
    <row r="507" ht="14.25" customHeight="1">
      <c r="C507" s="163"/>
      <c r="D507" s="163"/>
    </row>
    <row r="508" ht="14.25" customHeight="1">
      <c r="C508" s="163"/>
      <c r="D508" s="163"/>
    </row>
    <row r="509" ht="14.25" customHeight="1">
      <c r="C509" s="163"/>
      <c r="D509" s="163"/>
    </row>
    <row r="510" ht="14.25" customHeight="1">
      <c r="C510" s="163"/>
      <c r="D510" s="163"/>
    </row>
    <row r="511" ht="14.25" customHeight="1">
      <c r="C511" s="163"/>
      <c r="D511" s="163"/>
    </row>
    <row r="512" ht="14.25" customHeight="1">
      <c r="C512" s="163"/>
      <c r="D512" s="163"/>
    </row>
    <row r="513" ht="14.25" customHeight="1">
      <c r="C513" s="163"/>
      <c r="D513" s="163"/>
    </row>
    <row r="514" ht="14.25" customHeight="1">
      <c r="C514" s="163"/>
      <c r="D514" s="163"/>
    </row>
    <row r="515" ht="14.25" customHeight="1">
      <c r="C515" s="163"/>
      <c r="D515" s="163"/>
    </row>
    <row r="516" ht="14.25" customHeight="1">
      <c r="C516" s="163"/>
      <c r="D516" s="163"/>
    </row>
    <row r="517" ht="14.25" customHeight="1">
      <c r="C517" s="163"/>
      <c r="D517" s="163"/>
    </row>
    <row r="518" ht="14.25" customHeight="1">
      <c r="C518" s="163"/>
      <c r="D518" s="163"/>
    </row>
    <row r="519" ht="14.25" customHeight="1">
      <c r="C519" s="163"/>
      <c r="D519" s="163"/>
    </row>
    <row r="520" ht="14.25" customHeight="1">
      <c r="C520" s="163"/>
      <c r="D520" s="163"/>
    </row>
    <row r="521" ht="14.25" customHeight="1">
      <c r="C521" s="163"/>
      <c r="D521" s="163"/>
    </row>
    <row r="522" ht="14.25" customHeight="1">
      <c r="C522" s="163"/>
      <c r="D522" s="163"/>
    </row>
    <row r="523" ht="14.25" customHeight="1">
      <c r="C523" s="163"/>
      <c r="D523" s="163"/>
    </row>
    <row r="524" ht="14.25" customHeight="1">
      <c r="C524" s="163"/>
      <c r="D524" s="163"/>
    </row>
    <row r="525" ht="14.25" customHeight="1">
      <c r="C525" s="163"/>
      <c r="D525" s="163"/>
    </row>
    <row r="526" ht="14.25" customHeight="1">
      <c r="C526" s="163"/>
      <c r="D526" s="163"/>
    </row>
    <row r="527" ht="14.25" customHeight="1">
      <c r="C527" s="163"/>
      <c r="D527" s="163"/>
    </row>
    <row r="528" ht="14.25" customHeight="1">
      <c r="C528" s="163"/>
      <c r="D528" s="163"/>
    </row>
    <row r="529" ht="14.25" customHeight="1">
      <c r="C529" s="163"/>
      <c r="D529" s="163"/>
    </row>
    <row r="530" ht="14.25" customHeight="1">
      <c r="C530" s="163"/>
      <c r="D530" s="163"/>
    </row>
    <row r="531" ht="14.25" customHeight="1">
      <c r="C531" s="163"/>
      <c r="D531" s="163"/>
    </row>
    <row r="532" ht="14.25" customHeight="1">
      <c r="C532" s="163"/>
      <c r="D532" s="163"/>
    </row>
    <row r="533" ht="14.25" customHeight="1">
      <c r="C533" s="163"/>
      <c r="D533" s="163"/>
    </row>
    <row r="534" ht="14.25" customHeight="1">
      <c r="C534" s="163"/>
      <c r="D534" s="163"/>
    </row>
    <row r="535" ht="14.25" customHeight="1">
      <c r="C535" s="163"/>
      <c r="D535" s="163"/>
    </row>
    <row r="536" ht="14.25" customHeight="1">
      <c r="C536" s="163"/>
      <c r="D536" s="163"/>
    </row>
    <row r="537" ht="14.25" customHeight="1">
      <c r="C537" s="163"/>
      <c r="D537" s="163"/>
    </row>
    <row r="538" ht="14.25" customHeight="1">
      <c r="C538" s="163"/>
      <c r="D538" s="163"/>
    </row>
    <row r="539" ht="14.25" customHeight="1">
      <c r="C539" s="163"/>
      <c r="D539" s="163"/>
    </row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0">
    <mergeCell ref="E7:E8"/>
    <mergeCell ref="F7:F8"/>
    <mergeCell ref="A1:F1"/>
    <mergeCell ref="C2:F2"/>
    <mergeCell ref="C3:F3"/>
    <mergeCell ref="C4:F4"/>
    <mergeCell ref="A6:F6"/>
    <mergeCell ref="A7:A8"/>
    <mergeCell ref="B7:B8"/>
    <mergeCell ref="B27:B29"/>
    <mergeCell ref="C27:C29"/>
    <mergeCell ref="D27:D29"/>
    <mergeCell ref="E27:E29"/>
    <mergeCell ref="C7:C8"/>
    <mergeCell ref="D7:D8"/>
    <mergeCell ref="B13:E13"/>
    <mergeCell ref="B16:E16"/>
    <mergeCell ref="B20:E20"/>
    <mergeCell ref="A26:F26"/>
    <mergeCell ref="F27:F29"/>
    <mergeCell ref="A27:A29"/>
    <mergeCell ref="A36:E36"/>
    <mergeCell ref="A41:E41"/>
    <mergeCell ref="A44:E44"/>
    <mergeCell ref="B46:C46"/>
    <mergeCell ref="B47:C47"/>
    <mergeCell ref="B48:C48"/>
    <mergeCell ref="A50:F50"/>
    <mergeCell ref="A51:A52"/>
    <mergeCell ref="B51:B52"/>
    <mergeCell ref="C51:C52"/>
    <mergeCell ref="D51:D52"/>
    <mergeCell ref="E51:E52"/>
    <mergeCell ref="F51:F52"/>
    <mergeCell ref="E137:E138"/>
    <mergeCell ref="F137:F138"/>
    <mergeCell ref="A125:E125"/>
    <mergeCell ref="A128:E128"/>
    <mergeCell ref="B131:C131"/>
    <mergeCell ref="B133:C133"/>
    <mergeCell ref="A136:F136"/>
    <mergeCell ref="A137:A138"/>
    <mergeCell ref="B137:B138"/>
    <mergeCell ref="C137:C138"/>
    <mergeCell ref="D137:D138"/>
    <mergeCell ref="A145:E145"/>
    <mergeCell ref="A149:E149"/>
    <mergeCell ref="A152:E152"/>
    <mergeCell ref="B155:C155"/>
    <mergeCell ref="B157:C157"/>
    <mergeCell ref="A160:F160"/>
    <mergeCell ref="A161:A162"/>
    <mergeCell ref="B161:B162"/>
    <mergeCell ref="C161:C162"/>
    <mergeCell ref="D161:D162"/>
    <mergeCell ref="E161:E162"/>
    <mergeCell ref="F161:F162"/>
    <mergeCell ref="D184:D185"/>
    <mergeCell ref="E184:E185"/>
    <mergeCell ref="A169:E169"/>
    <mergeCell ref="A173:E173"/>
    <mergeCell ref="A176:E176"/>
    <mergeCell ref="B179:C179"/>
    <mergeCell ref="B181:C181"/>
    <mergeCell ref="A183:F183"/>
    <mergeCell ref="A184:A185"/>
    <mergeCell ref="F184:F185"/>
    <mergeCell ref="B184:B185"/>
    <mergeCell ref="C184:C185"/>
    <mergeCell ref="A192:E192"/>
    <mergeCell ref="A198:E198"/>
    <mergeCell ref="A203:E203"/>
    <mergeCell ref="B206:C206"/>
    <mergeCell ref="B208:C208"/>
    <mergeCell ref="A210:F210"/>
    <mergeCell ref="A218:E218"/>
    <mergeCell ref="A222:E222"/>
    <mergeCell ref="A225:E225"/>
    <mergeCell ref="B228:C228"/>
    <mergeCell ref="B230:C230"/>
    <mergeCell ref="A232:F232"/>
    <mergeCell ref="D253:D254"/>
    <mergeCell ref="E253:E254"/>
    <mergeCell ref="A240:E240"/>
    <mergeCell ref="A243:E243"/>
    <mergeCell ref="A245:E245"/>
    <mergeCell ref="B248:C248"/>
    <mergeCell ref="B250:C250"/>
    <mergeCell ref="A252:F252"/>
    <mergeCell ref="A253:A254"/>
    <mergeCell ref="F253:F254"/>
    <mergeCell ref="A278:F278"/>
    <mergeCell ref="A279:A280"/>
    <mergeCell ref="B279:B280"/>
    <mergeCell ref="C279:C280"/>
    <mergeCell ref="D279:D280"/>
    <mergeCell ref="E279:E280"/>
    <mergeCell ref="F279:F280"/>
    <mergeCell ref="E299:E300"/>
    <mergeCell ref="F299:F300"/>
    <mergeCell ref="A286:E286"/>
    <mergeCell ref="A289:E289"/>
    <mergeCell ref="A291:E291"/>
    <mergeCell ref="B294:C294"/>
    <mergeCell ref="A298:F298"/>
    <mergeCell ref="A299:A300"/>
    <mergeCell ref="B299:B300"/>
    <mergeCell ref="C299:C300"/>
    <mergeCell ref="D299:D300"/>
    <mergeCell ref="A307:E307"/>
    <mergeCell ref="A313:E313"/>
    <mergeCell ref="A315:E315"/>
    <mergeCell ref="B318:C318"/>
    <mergeCell ref="B320:C320"/>
    <mergeCell ref="A329:E329"/>
    <mergeCell ref="A331:E331"/>
    <mergeCell ref="A334:E334"/>
    <mergeCell ref="B337:C337"/>
    <mergeCell ref="B339:C339"/>
    <mergeCell ref="A322:F322"/>
    <mergeCell ref="A323:A324"/>
    <mergeCell ref="B323:B324"/>
    <mergeCell ref="C323:C324"/>
    <mergeCell ref="D323:D324"/>
    <mergeCell ref="E323:E324"/>
    <mergeCell ref="F323:F324"/>
    <mergeCell ref="A59:E59"/>
    <mergeCell ref="A65:E65"/>
    <mergeCell ref="A67:E67"/>
    <mergeCell ref="B69:C69"/>
    <mergeCell ref="B70:C70"/>
    <mergeCell ref="B71:C71"/>
    <mergeCell ref="A73:F73"/>
    <mergeCell ref="A74:A75"/>
    <mergeCell ref="B74:B75"/>
    <mergeCell ref="C74:C75"/>
    <mergeCell ref="D74:D75"/>
    <mergeCell ref="E74:E75"/>
    <mergeCell ref="F74:F75"/>
    <mergeCell ref="A80:E80"/>
    <mergeCell ref="D92:D93"/>
    <mergeCell ref="E92:E93"/>
    <mergeCell ref="A82:E82"/>
    <mergeCell ref="A84:E84"/>
    <mergeCell ref="B89:C89"/>
    <mergeCell ref="A91:F91"/>
    <mergeCell ref="A92:A93"/>
    <mergeCell ref="B92:B93"/>
    <mergeCell ref="F92:F93"/>
    <mergeCell ref="C92:C93"/>
    <mergeCell ref="A99:E99"/>
    <mergeCell ref="A102:E102"/>
    <mergeCell ref="A105:E105"/>
    <mergeCell ref="B108:C108"/>
    <mergeCell ref="B110:C110"/>
    <mergeCell ref="A112:F112"/>
    <mergeCell ref="A113:A114"/>
    <mergeCell ref="B113:B114"/>
    <mergeCell ref="C113:C114"/>
    <mergeCell ref="D113:D114"/>
    <mergeCell ref="E113:E114"/>
    <mergeCell ref="F113:F114"/>
    <mergeCell ref="A120:E120"/>
    <mergeCell ref="B253:B254"/>
    <mergeCell ref="C253:C254"/>
    <mergeCell ref="A261:E261"/>
    <mergeCell ref="A267:E267"/>
    <mergeCell ref="A270:E270"/>
    <mergeCell ref="B273:C273"/>
    <mergeCell ref="B275:C275"/>
  </mergeCells>
  <printOptions horizontalCentered="1"/>
  <pageMargins bottom="1.1811023622047245" footer="0.0" header="0.0" left="0.7874015748031497" right="0.3937007874015748" top="1.1811023622047245"/>
  <pageSetup orientation="portrait"/>
  <rowBreaks count="3" manualBreakCount="3">
    <brk id="48" man="1"/>
    <brk id="181" man="1"/>
    <brk id="250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2026-09-21T10:50:57Z</dcterms:created>
  <dc:creator>Andrei Ardheano Pratama</dc:creator>
</cp:coreProperties>
</file>