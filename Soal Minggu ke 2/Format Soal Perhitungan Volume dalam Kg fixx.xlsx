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e Soal Gedung" sheetId="1" r:id="rId4"/>
    <sheet state="visible" name="Tipe Soal Jalan" sheetId="2" r:id="rId5"/>
    <sheet state="visible" name="Tipe Soal Embunga" sheetId="3" r:id="rId6"/>
  </sheets>
  <definedNames/>
  <calcPr/>
  <extLst>
    <ext uri="GoogleSheetsCustomDataVersion2">
      <go:sheetsCustomData xmlns:go="http://customooxmlschemas.google.com/" r:id="rId7" roundtripDataChecksum="C7vJC19+JBgQpmi9DOKFpD1rADB/xF2PRBfpCex80f0="/>
    </ext>
  </extLst>
</workbook>
</file>

<file path=xl/sharedStrings.xml><?xml version="1.0" encoding="utf-8"?>
<sst xmlns="http://schemas.openxmlformats.org/spreadsheetml/2006/main" count="347" uniqueCount="110">
  <si>
    <t>Tipe</t>
  </si>
  <si>
    <t>PERHITUNGAN VOLUME TULANGAN BALOK STRUKTUR B2 (SNI 2847:2019 &amp; SNI 2052:2017)</t>
  </si>
  <si>
    <t>PERHITUNGAN VOLUME TULANGAN BALOK STRUKTUR B3 (SNI 2847:2019 &amp; SNI 2052:2017)</t>
  </si>
  <si>
    <t>Parameter Struktur</t>
  </si>
  <si>
    <t>PERHITUNGAN VOLUME TULANGAN BALOK STRUKTUR B1 (SNI 2847:2019 &amp; SNI 2052:2017)</t>
  </si>
  <si>
    <t>Simbol</t>
  </si>
  <si>
    <t>Nilai</t>
  </si>
  <si>
    <t>Satuan</t>
  </si>
  <si>
    <t>Keterangan / Formula</t>
  </si>
  <si>
    <t>Jenis Tulangan</t>
  </si>
  <si>
    <t>Diameter (mm)</t>
  </si>
  <si>
    <t>Luas Penampang (mm²)</t>
  </si>
  <si>
    <t>Berat Satuan (kg/m)</t>
  </si>
  <si>
    <t>Lebar Balok</t>
  </si>
  <si>
    <t>b</t>
  </si>
  <si>
    <t>mm</t>
  </si>
  <si>
    <t>Dari penampang melintang balok B2</t>
  </si>
  <si>
    <t>D10 (Sengkang)</t>
  </si>
  <si>
    <t>Perhitungan</t>
  </si>
  <si>
    <t>Tinggi Balok</t>
  </si>
  <si>
    <t>h</t>
  </si>
  <si>
    <t>D13 (Pinggang)</t>
  </si>
  <si>
    <t>By Gambar</t>
  </si>
  <si>
    <t>Dari penampang melintang balok B3</t>
  </si>
  <si>
    <t>Bentang Bersih Balok</t>
  </si>
  <si>
    <t>Ln</t>
  </si>
  <si>
    <t>Jarak bersih antar muka kolom</t>
  </si>
  <si>
    <t>D22 (Lentur/Utama)</t>
  </si>
  <si>
    <t>Panjang Zona Tumpuan Kiri</t>
  </si>
  <si>
    <t>Lt1</t>
  </si>
  <si>
    <t>m</t>
  </si>
  <si>
    <t>1/4 x Ln (2,00 m)</t>
  </si>
  <si>
    <t>Standar Massa Jenis</t>
  </si>
  <si>
    <t>7850 kg/m³</t>
  </si>
  <si>
    <t>Formula SNI:</t>
  </si>
  <si>
    <t>q = 0,006165 * d²</t>
  </si>
  <si>
    <t>Panjang Zona Lapangan</t>
  </si>
  <si>
    <t>Llap</t>
  </si>
  <si>
    <t>1/2 x Ln (4,00 m)</t>
  </si>
  <si>
    <t>Referensi SNI</t>
  </si>
  <si>
    <t>SNI 2052:2017</t>
  </si>
  <si>
    <t>Tabel 3 BjTS</t>
  </si>
  <si>
    <t>Baja Tulangan Sirip</t>
  </si>
  <si>
    <t>Panjang Zona Tumpuan Kanan</t>
  </si>
  <si>
    <t>Lt2</t>
  </si>
  <si>
    <t>Tebal Selimut Beton</t>
  </si>
  <si>
    <t>cc</t>
  </si>
  <si>
    <t>Standar SNI 2847:2019 Pasal 20.6.1.3</t>
  </si>
  <si>
    <t>1/4 x Ln (2,125 m)</t>
  </si>
  <si>
    <t>Panjang Penjangkaran / Kait</t>
  </si>
  <si>
    <t>Ld</t>
  </si>
  <si>
    <t>Standar kait/angkur kolom (&gt;= 12 db)</t>
  </si>
  <si>
    <t>1/2 x Ln (4,25 m)</t>
  </si>
  <si>
    <t>BAR BENDING SCHEDULE (BBS) - RINCIAN PEMBESIAN BALOK B2</t>
  </si>
  <si>
    <t>RINGKASAN METRIK STRUKTUR (KPI)</t>
  </si>
  <si>
    <t>Posisi Tulangan</t>
  </si>
  <si>
    <t>BAR BENDING SCHEDULE (BBS) - RINCIAN PEMBESIAN BALOK B3</t>
  </si>
  <si>
    <t>Tipe &amp; Bentuk Potongan</t>
  </si>
  <si>
    <t>Jumlah (n)</t>
  </si>
  <si>
    <t>Dari penampang melintang balok B1</t>
  </si>
  <si>
    <t>Panjang 1 Btg (m)</t>
  </si>
  <si>
    <t>Total Panjang (m)</t>
  </si>
  <si>
    <t>Total Berat (kg)</t>
  </si>
  <si>
    <t>Indikator Kinerja</t>
  </si>
  <si>
    <t>Nilai Terhitung</t>
  </si>
  <si>
    <t>Evaluasi / Standar SNI</t>
  </si>
  <si>
    <t>Tul. Atas Menerus</t>
  </si>
  <si>
    <t>5 D22 (Kait 2 Sisi: Ld + Ln + Ld)</t>
  </si>
  <si>
    <t>Total Berat Tulangan</t>
  </si>
  <si>
    <t>kg</t>
  </si>
  <si>
    <t>Akumulasi BBS (D10, D13, D22)</t>
  </si>
  <si>
    <t>Tul. Atas Ekstra Tump. Kiri</t>
  </si>
  <si>
    <t>3 D22 (Kait 1 Sisi: Ld + Lt1)</t>
  </si>
  <si>
    <t xml:space="preserve"> </t>
  </si>
  <si>
    <t>Volume Beton Balok B2</t>
  </si>
  <si>
    <t>Volume Beton Balok B3</t>
  </si>
  <si>
    <t>m³</t>
  </si>
  <si>
    <t>Penampang b x h x Ln (bruto)</t>
  </si>
  <si>
    <t>Tul. Atas Ekstra Tump. Kanan</t>
  </si>
  <si>
    <t>3 D22 (Kait 1 Sisi: Ld + Lt2)</t>
  </si>
  <si>
    <t>Rasio Pembesian Balok</t>
  </si>
  <si>
    <t>kg/m³</t>
  </si>
  <si>
    <t>Tul. Bawah Menerus</t>
  </si>
  <si>
    <t>1/4 x Ln (2,25 m)</t>
  </si>
  <si>
    <t>Tul. Pinggang Sisi Kiri</t>
  </si>
  <si>
    <t>2 D13 (Kait 2 Sisi: Ld + Ln + Ld)</t>
  </si>
  <si>
    <t>CATATAN TEKNIS &amp; KETENTUAN STANDAR SNI</t>
  </si>
  <si>
    <t>Tul. Pinggang Sisi Kanan</t>
  </si>
  <si>
    <t>1/2 x Ln (4,50 m)</t>
  </si>
  <si>
    <t>1. Tebal selimut beton balok interior nonprategang = 40 mm (SNI 2847:2019 Pasal 20.6.1.3).</t>
  </si>
  <si>
    <t>Sengkang Tump. Kiri</t>
  </si>
  <si>
    <t>4 D10 - 100 (4 Kaki: Luar + Dalam)</t>
  </si>
  <si>
    <t>2. Berat nominal baja tulangan dihitung formula SNI 2052:2017: q = 0,006165 x d² (kg/m).</t>
  </si>
  <si>
    <t>Sengkang Lapangan</t>
  </si>
  <si>
    <t>2 D10 - 150 (2 Kaki: Sengkang Luar)</t>
  </si>
  <si>
    <t>3. Kait seismik sengkang 135° = min. 6 db (&gt;= 75 mm) sesuai SNI 2847:2019 Pasal 25.3.2.</t>
  </si>
  <si>
    <t>Sengkang Tump. Kanan</t>
  </si>
  <si>
    <t>4. Rasio pembesian balok gedung tahan gempa normal berkisar 150 - 250 kg/m³ beton.</t>
  </si>
  <si>
    <t>TOTAL VOLUME BESI BALOK B3</t>
  </si>
  <si>
    <t>Semua Posisi Tulangan (SNI)</t>
  </si>
  <si>
    <t>-</t>
  </si>
  <si>
    <t>TOTAL VOLUME BESI BALOK B2</t>
  </si>
  <si>
    <t>5. Estimasi pembelian mengacu pada panjang standar batang baja komersial = 12,0 meter.</t>
  </si>
  <si>
    <t>Diameter Tulangan</t>
  </si>
  <si>
    <t>Kebutuhan Batang (12 m)</t>
  </si>
  <si>
    <t>Pembulatan Order (btg)</t>
  </si>
  <si>
    <t>TOTAL KEBUTUHAN BESI</t>
  </si>
  <si>
    <t>BAR BENDING SCHEDULE (BBS) - RINCIAN PEMBESIAN BALOK B1</t>
  </si>
  <si>
    <t>Volume Beton Balok B1</t>
  </si>
  <si>
    <t>TOTAL VOLUME BESI BALOK 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</si>
</sst>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"/>
  </numFmts>
  <fonts count="27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2.0"/>
      <color rgb="FFFFFFFF"/>
      <name val="Roboto"/>
    </font>
    <font>
      <b/>
      <sz val="12.0"/>
      <color rgb="FFFFFFFF"/>
      <name val="Aptos Narrow"/>
    </font>
    <font/>
    <font>
      <b/>
      <sz val="10.0"/>
      <color rgb="FFFFFFFF"/>
      <name val="Roboto"/>
    </font>
    <font>
      <b/>
      <sz val="10.0"/>
      <color rgb="FFFFFFFF"/>
      <name val="Aptos Narrow"/>
    </font>
    <font>
      <sz val="10.0"/>
      <color theme="1"/>
      <name val="Roboto"/>
    </font>
    <font>
      <sz val="11.0"/>
      <color theme="1"/>
      <name val="Roboto"/>
    </font>
    <font>
      <b/>
      <sz val="10.0"/>
      <color theme="1"/>
      <name val="Roboto"/>
    </font>
    <font>
      <b/>
      <sz val="11.0"/>
      <color theme="1"/>
      <name val="Roboto"/>
    </font>
    <font>
      <i/>
      <sz val="11.0"/>
      <color theme="1"/>
      <name val="Roboto"/>
    </font>
    <font>
      <sz val="12.0"/>
      <color theme="1"/>
      <name val="Times New Roman"/>
    </font>
    <font>
      <i/>
      <sz val="9.0"/>
      <color rgb="FF465469"/>
      <name val="Aptos Narrow"/>
    </font>
    <font>
      <b/>
      <sz val="11.0"/>
      <color theme="1"/>
      <name val="Aptos Narrow"/>
    </font>
    <font>
      <i/>
      <sz val="11.0"/>
      <color theme="1"/>
      <name val="Aptos Narrow"/>
    </font>
    <font>
      <b/>
      <sz val="11.0"/>
      <color rgb="FFFFFFFF"/>
      <name val="Roboto"/>
    </font>
    <font>
      <b/>
      <sz val="11.0"/>
      <color rgb="FFFFFFFF"/>
      <name val="Aptos Narrow"/>
    </font>
    <font>
      <sz val="9.0"/>
      <color theme="1"/>
      <name val="Roboto"/>
    </font>
    <font>
      <b/>
      <sz val="11.0"/>
      <color rgb="FF156434"/>
      <name val="Aptos Narrow"/>
    </font>
    <font>
      <sz val="9.0"/>
      <color rgb="FF333F66"/>
      <name val="Aptos Narrow"/>
    </font>
    <font>
      <sz val="9.0"/>
      <color rgb="FF333F66"/>
      <name val="Roboto"/>
    </font>
    <font>
      <sz val="9.0"/>
      <color theme="1"/>
      <name val="Arial"/>
    </font>
    <font>
      <sz val="9.0"/>
      <color theme="1"/>
      <name val="Aptos Narrow"/>
    </font>
    <font>
      <sz val="9.0"/>
      <color rgb="FF334154"/>
      <name val="Aptos Narrow"/>
    </font>
    <font>
      <b/>
      <sz val="11.0"/>
      <color rgb="FF1E3989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0F5F8"/>
        <bgColor rgb="FFF0F5F8"/>
      </patternFill>
    </fill>
    <fill>
      <patternFill patternType="solid">
        <fgColor rgb="FFDCFBE7"/>
        <bgColor rgb="FFDCFBE7"/>
      </patternFill>
    </fill>
    <fill>
      <patternFill patternType="solid">
        <fgColor rgb="FFF7F9FF"/>
        <bgColor rgb="FFF7F9FF"/>
      </patternFill>
    </fill>
    <fill>
      <patternFill patternType="solid">
        <fgColor rgb="FFEDF1FF"/>
        <bgColor rgb="FFEDF1FF"/>
      </patternFill>
    </fill>
    <fill>
      <patternFill patternType="solid">
        <fgColor rgb="FF2462EB"/>
        <bgColor rgb="FF2462EB"/>
      </patternFill>
    </fill>
    <fill>
      <patternFill patternType="solid">
        <fgColor rgb="FF465469"/>
        <bgColor rgb="FF465469"/>
      </patternFill>
    </fill>
    <fill>
      <patternFill patternType="solid">
        <fgColor rgb="FFF8F9FB"/>
        <bgColor rgb="FFF8F9FB"/>
      </patternFill>
    </fill>
    <fill>
      <patternFill patternType="solid">
        <fgColor rgb="FFDBEAFD"/>
        <bgColor rgb="FFDBEAFD"/>
      </patternFill>
    </fill>
  </fills>
  <borders count="56">
    <border/>
    <border>
      <left/>
      <top/>
      <bottom/>
    </border>
    <border>
      <left style="medium">
        <color rgb="FF1E3989"/>
      </left>
      <top style="medium">
        <color rgb="FF1E3989"/>
      </top>
      <bottom style="medium">
        <color rgb="FF1E3989"/>
      </bottom>
    </border>
    <border>
      <top/>
      <bottom/>
    </border>
    <border>
      <top style="medium">
        <color rgb="FF1E3989"/>
      </top>
      <bottom style="medium">
        <color rgb="FF1E3989"/>
      </bottom>
    </border>
    <border>
      <right/>
      <top/>
      <bottom/>
    </border>
    <border>
      <right style="medium">
        <color rgb="FF1E3989"/>
      </right>
      <top style="medium">
        <color rgb="FF1E3989"/>
      </top>
      <bottom style="medium">
        <color rgb="FF1E398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E3989"/>
      </left>
      <right style="thin">
        <color rgb="FFC6D1E5"/>
      </right>
      <top style="medium">
        <color rgb="FF1E3989"/>
      </top>
      <bottom/>
    </border>
    <border>
      <left style="thin">
        <color rgb="FFC6D1E5"/>
      </left>
      <right style="thin">
        <color rgb="FFC6D1E5"/>
      </right>
      <top style="medium">
        <color rgb="FF1E3989"/>
      </top>
      <bottom/>
    </border>
    <border>
      <left style="thin">
        <color rgb="FFC6D1E5"/>
      </left>
      <right style="medium">
        <color rgb="FF1E3989"/>
      </right>
      <top style="medium">
        <color rgb="FF1E3989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1E3989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medium">
        <color rgb="FF1E3989"/>
      </top>
      <bottom style="thin">
        <color rgb="FFC6D1E5"/>
      </bottom>
    </border>
    <border>
      <top style="medium">
        <color rgb="FF1E3989"/>
      </top>
      <bottom style="thin">
        <color rgb="FFC6D1E5"/>
      </bottom>
    </border>
    <border>
      <right style="medium">
        <color rgb="FF1E3989"/>
      </right>
      <top style="medium">
        <color rgb="FF1E3989"/>
      </top>
      <bottom style="thin">
        <color rgb="FFC6D1E5"/>
      </bottom>
    </border>
    <border>
      <left style="medium">
        <color rgb="FF1E3989"/>
      </left>
      <top style="medium">
        <color rgb="FF1E3989"/>
      </top>
      <bottom/>
    </border>
    <border>
      <left/>
      <right style="thin">
        <color rgb="FFC6D1E5"/>
      </right>
      <top style="thin">
        <color rgb="FFC6D1E5"/>
      </top>
      <bottom style="thin">
        <color rgb="FFC6D1E5"/>
      </bottom>
    </border>
    <border>
      <top style="medium">
        <color rgb="FF1E3989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C6D1E5"/>
      </left>
      <right style="thin">
        <color rgb="FFC6D1E5"/>
      </right>
      <top style="thin">
        <color rgb="FFC6D1E5"/>
      </top>
      <bottom style="thin">
        <color rgb="FFC6D1E5"/>
      </bottom>
    </border>
    <border>
      <right style="medium">
        <color rgb="FF1E3989"/>
      </right>
      <top style="medium">
        <color rgb="FF1E3989"/>
      </top>
      <bottom/>
    </border>
    <border>
      <left style="thin">
        <color rgb="FFC6D1E5"/>
      </left>
      <right style="medium">
        <color rgb="FF1E3989"/>
      </right>
      <top style="thin">
        <color rgb="FFC6D1E5"/>
      </top>
      <bottom style="thin">
        <color rgb="FFC6D1E5"/>
      </bottom>
    </border>
    <border>
      <right style="thin">
        <color rgb="FFC6D1E5"/>
      </right>
      <top style="thin">
        <color rgb="FFC6D1E5"/>
      </top>
      <bottom style="thin">
        <color rgb="FFC6D1E5"/>
      </bottom>
    </border>
    <border>
      <right style="thin">
        <color rgb="FFC6D1E5"/>
      </right>
      <top style="thin">
        <color rgb="FFC6D1E5"/>
      </top>
      <bottom style="medium">
        <color rgb="FF1E3989"/>
      </bottom>
    </border>
    <border>
      <left style="thin">
        <color rgb="FFC6D1E5"/>
      </left>
      <right style="thin">
        <color rgb="FFC6D1E5"/>
      </right>
      <top style="thin">
        <color rgb="FFC6D1E5"/>
      </top>
      <bottom style="medium">
        <color rgb="FF1E3989"/>
      </bottom>
    </border>
    <border>
      <left/>
      <top style="thin">
        <color rgb="FFC6D1E5"/>
      </top>
      <bottom style="thin">
        <color rgb="FFC6D1E5"/>
      </bottom>
    </border>
    <border>
      <left style="thin">
        <color rgb="FFC6D1E5"/>
      </left>
      <right style="medium">
        <color rgb="FF1E3989"/>
      </right>
      <top style="thin">
        <color rgb="FFC6D1E5"/>
      </top>
      <bottom style="medium">
        <color rgb="FF1E3989"/>
      </bottom>
    </border>
    <border>
      <top style="thin">
        <color rgb="FFC6D1E5"/>
      </top>
      <bottom style="thin">
        <color rgb="FFC6D1E5"/>
      </bottom>
    </border>
    <border>
      <right style="medium">
        <color rgb="FF1E3989"/>
      </right>
      <top style="thin">
        <color rgb="FFC6D1E5"/>
      </top>
      <bottom style="thin">
        <color rgb="FFC6D1E5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C6D1E5"/>
      </top>
      <bottom style="medium">
        <color rgb="FF1E3989"/>
      </bottom>
    </border>
    <border>
      <top style="thin">
        <color rgb="FFC6D1E5"/>
      </top>
      <bottom style="medium">
        <color rgb="FF1E3989"/>
      </bottom>
    </border>
    <border>
      <right style="medium">
        <color rgb="FF1E3989"/>
      </right>
      <top style="thin">
        <color rgb="FFC6D1E5"/>
      </top>
      <bottom style="medium">
        <color rgb="FF1E3989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63748A"/>
      </left>
      <top style="medium">
        <color rgb="FF1E3989"/>
      </top>
      <bottom/>
    </border>
    <border>
      <right style="medium">
        <color rgb="FF63748A"/>
      </right>
      <top style="medium">
        <color rgb="FF1E3989"/>
      </top>
      <bottom/>
    </border>
    <border>
      <left style="medium">
        <color rgb="FF2462EB"/>
      </left>
      <top style="medium">
        <color rgb="FF1E3989"/>
      </top>
      <bottom/>
    </border>
    <border>
      <right style="medium">
        <color rgb="FF2462EB"/>
      </right>
      <top style="medium">
        <color rgb="FF1E3989"/>
      </top>
      <bottom/>
    </border>
    <border>
      <left/>
      <top style="medium">
        <color rgb="FF465469"/>
      </top>
      <bottom style="thin">
        <color rgb="FFE1E8EF"/>
      </bottom>
    </border>
    <border>
      <top style="medium">
        <color rgb="FF465469"/>
      </top>
      <bottom style="thin">
        <color rgb="FFE1E8EF"/>
      </bottom>
    </border>
    <border>
      <right style="medium">
        <color rgb="FF63748A"/>
      </right>
      <top style="medium">
        <color rgb="FF465469"/>
      </top>
      <bottom style="thin">
        <color rgb="FFE1E8EF"/>
      </bottom>
    </border>
    <border>
      <left/>
      <top style="thin">
        <color rgb="FFE1E8EF"/>
      </top>
      <bottom style="thin">
        <color rgb="FFE1E8EF"/>
      </bottom>
    </border>
    <border>
      <top style="thin">
        <color rgb="FFE1E8EF"/>
      </top>
      <bottom style="thin">
        <color rgb="FFE1E8EF"/>
      </bottom>
    </border>
    <border>
      <right style="medium">
        <color rgb="FF63748A"/>
      </right>
      <top style="thin">
        <color rgb="FFE1E8EF"/>
      </top>
      <bottom style="thin">
        <color rgb="FFE1E8EF"/>
      </bottom>
    </border>
    <border>
      <left/>
      <top style="thin">
        <color rgb="FFE1E8EF"/>
      </top>
      <bottom style="medium">
        <color rgb="FF465469"/>
      </bottom>
    </border>
    <border>
      <top style="thin">
        <color rgb="FFE1E8EF"/>
      </top>
      <bottom style="medium">
        <color rgb="FF465469"/>
      </bottom>
    </border>
    <border>
      <right style="medium">
        <color rgb="FF63748A"/>
      </right>
      <top style="thin">
        <color rgb="FFE1E8EF"/>
      </top>
      <bottom style="medium">
        <color rgb="FF465469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2" fontId="6" numFmtId="0" xfId="0" applyAlignment="1" applyBorder="1" applyFill="1" applyFont="1">
      <alignment horizontal="center" vertical="center"/>
    </xf>
    <xf borderId="7" fillId="2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8" fillId="2" fontId="7" numFmtId="0" xfId="0" applyAlignment="1" applyBorder="1" applyFill="1" applyFont="1">
      <alignment horizontal="center" vertical="center"/>
    </xf>
    <xf borderId="9" fillId="2" fontId="7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horizontal="center"/>
    </xf>
    <xf borderId="10" fillId="2" fontId="7" numFmtId="0" xfId="0" applyAlignment="1" applyBorder="1" applyFill="1" applyFont="1">
      <alignment horizontal="center" vertical="center"/>
    </xf>
    <xf borderId="7" fillId="3" fontId="10" numFmtId="164" xfId="0" applyAlignment="1" applyBorder="1" applyFill="1" applyFont="1" applyNumberFormat="1">
      <alignment horizontal="center"/>
    </xf>
    <xf borderId="7" fillId="0" fontId="8" numFmtId="1" xfId="0" applyAlignment="1" applyBorder="1" applyFont="1" applyNumberFormat="1">
      <alignment horizontal="center"/>
    </xf>
    <xf borderId="7" fillId="0" fontId="11" numFmtId="0" xfId="0" applyAlignment="1" applyBorder="1" applyFont="1">
      <alignment horizontal="center"/>
    </xf>
    <xf borderId="7" fillId="4" fontId="8" numFmtId="165" xfId="0" applyAlignment="1" applyBorder="1" applyFill="1" applyFont="1" applyNumberFormat="1">
      <alignment horizontal="center"/>
    </xf>
    <xf borderId="7" fillId="0" fontId="12" numFmtId="0" xfId="0" applyAlignment="1" applyBorder="1" applyFont="1">
      <alignment horizontal="center"/>
    </xf>
    <xf borderId="7" fillId="4" fontId="8" numFmtId="164" xfId="0" applyAlignment="1" applyBorder="1" applyFill="1" applyFont="1" applyNumberFormat="1">
      <alignment horizontal="center"/>
    </xf>
    <xf borderId="11" fillId="2" fontId="7" numFmtId="0" xfId="0" applyAlignment="1" applyBorder="1" applyFill="1" applyFont="1">
      <alignment horizontal="center" readingOrder="0" shrinkToFit="0" vertical="center" wrapText="0"/>
    </xf>
    <xf borderId="12" fillId="4" fontId="13" numFmtId="0" xfId="0" applyBorder="1" applyFill="1" applyFont="1"/>
    <xf borderId="7" fillId="3" fontId="11" numFmtId="164" xfId="0" applyAlignment="1" applyBorder="1" applyFill="1" applyFont="1" applyNumberFormat="1">
      <alignment horizontal="center"/>
    </xf>
    <xf borderId="13" fillId="2" fontId="7" numFmtId="0" xfId="0" applyAlignment="1" applyBorder="1" applyFill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/>
    </xf>
    <xf borderId="12" fillId="3" fontId="13" numFmtId="0" xfId="0" applyBorder="1" applyFill="1" applyFont="1"/>
    <xf borderId="7" fillId="0" fontId="9" numFmtId="3" xfId="0" applyAlignment="1" applyBorder="1" applyFont="1" applyNumberFormat="1">
      <alignment horizontal="center"/>
    </xf>
    <xf borderId="7" fillId="4" fontId="9" numFmtId="165" xfId="0" applyAlignment="1" applyBorder="1" applyFill="1" applyFont="1" applyNumberFormat="1">
      <alignment horizontal="center"/>
    </xf>
    <xf borderId="7" fillId="4" fontId="11" numFmtId="164" xfId="0" applyAlignment="1" applyBorder="1" applyFill="1" applyFont="1" applyNumberFormat="1">
      <alignment horizontal="center"/>
    </xf>
    <xf borderId="14" fillId="2" fontId="7" numFmtId="0" xfId="0" applyAlignment="1" applyBorder="1" applyFill="1" applyFont="1">
      <alignment horizontal="center" readingOrder="0" shrinkToFit="0" vertical="center" wrapText="0"/>
    </xf>
    <xf borderId="15" fillId="5" fontId="8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6" fontId="14" numFmtId="0" xfId="0" applyAlignment="1" applyBorder="1" applyFill="1" applyFont="1">
      <alignment horizontal="center"/>
    </xf>
    <xf borderId="16" fillId="0" fontId="15" numFmtId="0" xfId="0" applyAlignment="1" applyBorder="1" applyFont="1">
      <alignment horizontal="center" shrinkToFit="0" vertical="center" wrapText="0"/>
    </xf>
    <xf borderId="7" fillId="0" fontId="16" numFmtId="0" xfId="0" applyAlignment="1" applyBorder="1" applyFont="1">
      <alignment horizontal="center" shrinkToFit="0" vertical="center" wrapText="0"/>
    </xf>
    <xf borderId="17" fillId="2" fontId="17" numFmtId="0" xfId="0" applyAlignment="1" applyBorder="1" applyFill="1" applyFont="1">
      <alignment horizontal="center" vertical="center"/>
    </xf>
    <xf borderId="18" fillId="0" fontId="5" numFmtId="0" xfId="0" applyBorder="1" applyFont="1"/>
    <xf borderId="16" fillId="0" fontId="5" numFmtId="0" xfId="0" applyBorder="1" applyFont="1"/>
    <xf borderId="19" fillId="2" fontId="17" numFmtId="0" xfId="0" applyAlignment="1" applyBorder="1" applyFill="1" applyFont="1">
      <alignment horizontal="center" vertical="center"/>
    </xf>
    <xf borderId="7" fillId="3" fontId="15" numFmtId="164" xfId="0" applyAlignment="1" applyBorder="1" applyFill="1" applyFont="1" applyNumberFormat="1">
      <alignment horizontal="center" shrinkToFit="0" vertical="center" wrapText="0"/>
    </xf>
    <xf borderId="20" fillId="0" fontId="5" numFmtId="0" xfId="0" applyBorder="1" applyFont="1"/>
    <xf borderId="21" fillId="0" fontId="5" numFmtId="0" xfId="0" applyBorder="1" applyFont="1"/>
    <xf borderId="7" fillId="0" fontId="8" numFmtId="0" xfId="0" applyAlignment="1" applyBorder="1" applyFont="1">
      <alignment horizontal="center" shrinkToFit="0" vertical="center" wrapText="0"/>
    </xf>
    <xf borderId="22" fillId="2" fontId="18" numFmtId="0" xfId="0" applyAlignment="1" applyBorder="1" applyFill="1" applyFont="1">
      <alignment horizontal="center" vertical="center"/>
    </xf>
    <xf borderId="17" fillId="0" fontId="8" numFmtId="0" xfId="0" applyAlignment="1" applyBorder="1" applyFont="1">
      <alignment horizontal="center" shrinkToFit="0" vertical="center" wrapText="0"/>
    </xf>
    <xf borderId="23" fillId="2" fontId="6" numFmtId="0" xfId="0" applyAlignment="1" applyBorder="1" applyFill="1" applyFont="1">
      <alignment horizontal="center" vertical="center"/>
    </xf>
    <xf borderId="24" fillId="0" fontId="5" numFmtId="0" xfId="0" applyBorder="1" applyFont="1"/>
    <xf borderId="25" fillId="0" fontId="8" numFmtId="0" xfId="0" applyAlignment="1" applyBorder="1" applyFont="1">
      <alignment horizontal="center" vertical="center"/>
    </xf>
    <xf borderId="26" fillId="2" fontId="6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27" fillId="0" fontId="5" numFmtId="0" xfId="0" applyBorder="1" applyFont="1"/>
    <xf borderId="28" fillId="2" fontId="6" numFmtId="0" xfId="0" applyAlignment="1" applyBorder="1" applyFill="1" applyFont="1">
      <alignment horizontal="center" vertical="center"/>
    </xf>
    <xf borderId="7" fillId="0" fontId="8" numFmtId="3" xfId="0" applyAlignment="1" applyBorder="1" applyFont="1" applyNumberFormat="1">
      <alignment horizontal="center" vertical="center"/>
    </xf>
    <xf borderId="7" fillId="4" fontId="8" numFmtId="165" xfId="0" applyAlignment="1" applyBorder="1" applyFill="1" applyFont="1" applyNumberFormat="1">
      <alignment horizontal="center" vertical="center"/>
    </xf>
    <xf borderId="7" fillId="0" fontId="8" numFmtId="0" xfId="0" applyAlignment="1" applyBorder="1" applyFont="1">
      <alignment horizontal="center" readingOrder="0"/>
    </xf>
    <xf borderId="7" fillId="4" fontId="15" numFmtId="164" xfId="0" applyAlignment="1" applyBorder="1" applyFill="1" applyFont="1" applyNumberFormat="1">
      <alignment horizontal="center" vertical="center"/>
    </xf>
    <xf borderId="7" fillId="3" fontId="8" numFmtId="3" xfId="0" applyAlignment="1" applyBorder="1" applyFill="1" applyFont="1" applyNumberFormat="1">
      <alignment horizontal="center"/>
    </xf>
    <xf borderId="7" fillId="4" fontId="8" numFmtId="4" xfId="0" applyAlignment="1" applyBorder="1" applyFill="1" applyFont="1" applyNumberFormat="1">
      <alignment horizontal="center"/>
    </xf>
    <xf borderId="29" fillId="0" fontId="8" numFmtId="0" xfId="0" applyAlignment="1" applyBorder="1" applyFont="1">
      <alignment horizontal="center"/>
    </xf>
    <xf borderId="7" fillId="0" fontId="19" numFmtId="0" xfId="0" applyAlignment="1" applyBorder="1" applyFont="1">
      <alignment horizontal="center" readingOrder="0"/>
    </xf>
    <xf borderId="7" fillId="0" fontId="9" numFmtId="1" xfId="0" applyAlignment="1" applyBorder="1" applyFont="1" applyNumberFormat="1">
      <alignment horizontal="center"/>
    </xf>
    <xf borderId="7" fillId="3" fontId="9" numFmtId="3" xfId="0" applyAlignment="1" applyBorder="1" applyFill="1" applyFont="1" applyNumberFormat="1">
      <alignment horizontal="center"/>
    </xf>
    <xf borderId="7" fillId="4" fontId="9" numFmtId="4" xfId="0" applyAlignment="1" applyBorder="1" applyFill="1" applyFont="1" applyNumberFormat="1">
      <alignment horizontal="center"/>
    </xf>
    <xf borderId="7" fillId="4" fontId="11" numFmtId="4" xfId="0" applyAlignment="1" applyBorder="1" applyFill="1" applyFont="1" applyNumberFormat="1">
      <alignment horizontal="center"/>
    </xf>
    <xf borderId="26" fillId="0" fontId="10" numFmtId="4" xfId="0" applyAlignment="1" applyBorder="1" applyFont="1" applyNumberFormat="1">
      <alignment horizontal="center"/>
    </xf>
    <xf borderId="26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/>
    </xf>
    <xf borderId="7" fillId="0" fontId="11" numFmtId="4" xfId="0" applyAlignment="1" applyBorder="1" applyFont="1" applyNumberFormat="1">
      <alignment horizontal="center"/>
    </xf>
    <xf borderId="7" fillId="7" fontId="20" numFmtId="0" xfId="0" applyAlignment="1" applyBorder="1" applyFill="1" applyFont="1">
      <alignment horizontal="center"/>
    </xf>
    <xf borderId="7" fillId="4" fontId="20" numFmtId="4" xfId="0" applyAlignment="1" applyBorder="1" applyFill="1" applyFont="1" applyNumberFormat="1">
      <alignment horizontal="center"/>
    </xf>
    <xf borderId="26" fillId="4" fontId="10" numFmtId="4" xfId="0" applyAlignment="1" applyBorder="1" applyFill="1" applyFont="1" applyNumberFormat="1">
      <alignment horizontal="center"/>
    </xf>
    <xf borderId="30" fillId="0" fontId="8" numFmtId="0" xfId="0" applyAlignment="1" applyBorder="1" applyFont="1">
      <alignment horizontal="center"/>
    </xf>
    <xf borderId="7" fillId="4" fontId="15" numFmtId="164" xfId="0" applyAlignment="1" applyBorder="1" applyFill="1" applyFont="1" applyNumberFormat="1">
      <alignment horizontal="center" shrinkToFit="0" vertical="center" wrapText="0"/>
    </xf>
    <xf borderId="31" fillId="4" fontId="10" numFmtId="4" xfId="0" applyAlignment="1" applyBorder="1" applyFill="1" applyFont="1" applyNumberFormat="1">
      <alignment horizontal="center"/>
    </xf>
    <xf borderId="7" fillId="0" fontId="19" numFmtId="0" xfId="0" applyAlignment="1" applyBorder="1" applyFont="1">
      <alignment horizontal="center"/>
    </xf>
    <xf borderId="31" fillId="0" fontId="8" numFmtId="0" xfId="0" applyAlignment="1" applyBorder="1" applyFont="1">
      <alignment horizontal="center"/>
    </xf>
    <xf borderId="7" fillId="6" fontId="14" numFmtId="0" xfId="0" applyAlignment="1" applyBorder="1" applyFill="1" applyFont="1">
      <alignment horizontal="center" vertical="center"/>
    </xf>
    <xf borderId="19" fillId="2" fontId="7" numFmtId="0" xfId="0" applyAlignment="1" applyBorder="1" applyFill="1" applyFont="1">
      <alignment horizontal="center" vertical="center"/>
    </xf>
    <xf borderId="32" fillId="8" fontId="21" numFmtId="0" xfId="0" applyAlignment="1" applyBorder="1" applyFill="1" applyFont="1">
      <alignment horizontal="center"/>
    </xf>
    <xf borderId="33" fillId="0" fontId="8" numFmtId="0" xfId="0" applyAlignment="1" applyBorder="1" applyFont="1">
      <alignment horizontal="center"/>
    </xf>
    <xf borderId="34" fillId="0" fontId="5" numFmtId="0" xfId="0" applyBorder="1" applyFont="1"/>
    <xf borderId="35" fillId="0" fontId="5" numFmtId="0" xfId="0" applyBorder="1" applyFont="1"/>
    <xf borderId="19" fillId="2" fontId="6" numFmtId="0" xfId="0" applyAlignment="1" applyBorder="1" applyFill="1" applyFont="1">
      <alignment horizontal="center" vertical="center"/>
    </xf>
    <xf borderId="32" fillId="8" fontId="22" numFmtId="0" xfId="0" applyAlignment="1" applyBorder="1" applyFill="1" applyFont="1">
      <alignment horizontal="center"/>
    </xf>
    <xf borderId="7" fillId="9" fontId="11" numFmtId="0" xfId="0" applyAlignment="1" applyBorder="1" applyFill="1" applyFont="1">
      <alignment horizontal="center"/>
    </xf>
    <xf borderId="7" fillId="0" fontId="15" numFmtId="164" xfId="0" applyAlignment="1" applyBorder="1" applyFont="1" applyNumberFormat="1">
      <alignment horizontal="center" shrinkToFit="0" vertical="center" wrapText="0"/>
    </xf>
    <xf borderId="7" fillId="9" fontId="11" numFmtId="3" xfId="0" applyAlignment="1" applyBorder="1" applyFill="1" applyFont="1" applyNumberFormat="1">
      <alignment horizontal="center"/>
    </xf>
    <xf borderId="36" fillId="0" fontId="15" numFmtId="0" xfId="0" applyAlignment="1" applyBorder="1" applyFont="1">
      <alignment horizontal="center" shrinkToFit="0" vertical="center" wrapText="0"/>
    </xf>
    <xf borderId="7" fillId="9" fontId="10" numFmtId="0" xfId="0" applyAlignment="1" applyBorder="1" applyFill="1" applyFont="1">
      <alignment horizontal="center"/>
    </xf>
    <xf borderId="7" fillId="9" fontId="11" numFmtId="4" xfId="0" applyAlignment="1" applyBorder="1" applyFill="1" applyFont="1" applyNumberFormat="1">
      <alignment horizontal="center"/>
    </xf>
    <xf borderId="37" fillId="0" fontId="16" numFmtId="0" xfId="0" applyAlignment="1" applyBorder="1" applyFont="1">
      <alignment horizontal="center" shrinkToFit="0" vertical="center" wrapText="0"/>
    </xf>
    <xf borderId="7" fillId="9" fontId="10" numFmtId="3" xfId="0" applyAlignment="1" applyBorder="1" applyFill="1" applyFont="1" applyNumberFormat="1">
      <alignment horizontal="center"/>
    </xf>
    <xf borderId="38" fillId="8" fontId="21" numFmtId="0" xfId="0" applyAlignment="1" applyBorder="1" applyFill="1" applyFont="1">
      <alignment horizontal="center"/>
    </xf>
    <xf borderId="7" fillId="9" fontId="10" numFmtId="4" xfId="0" applyAlignment="1" applyBorder="1" applyFill="1" applyFont="1" applyNumberFormat="1">
      <alignment horizontal="center"/>
    </xf>
    <xf borderId="39" fillId="0" fontId="5" numFmtId="0" xfId="0" applyBorder="1" applyFont="1"/>
    <xf borderId="40" fillId="0" fontId="5" numFmtId="0" xfId="0" applyBorder="1" applyFont="1"/>
    <xf borderId="41" fillId="5" fontId="15" numFmtId="164" xfId="0" applyAlignment="1" applyBorder="1" applyFill="1" applyFont="1" applyNumberFormat="1">
      <alignment horizontal="center" shrinkToFit="0" vertical="center" wrapText="0"/>
    </xf>
    <xf borderId="38" fillId="8" fontId="22" numFmtId="0" xfId="0" applyAlignment="1" applyBorder="1" applyFill="1" applyFont="1">
      <alignment horizontal="center"/>
    </xf>
    <xf borderId="7" fillId="4" fontId="9" numFmtId="164" xfId="0" applyAlignment="1" applyBorder="1" applyFill="1" applyFont="1" applyNumberFormat="1">
      <alignment horizontal="center"/>
    </xf>
    <xf borderId="7" fillId="4" fontId="11" numFmtId="3" xfId="0" applyAlignment="1" applyBorder="1" applyFill="1" applyFont="1" applyNumberFormat="1">
      <alignment horizontal="center"/>
    </xf>
    <xf borderId="37" fillId="0" fontId="8" numFmtId="0" xfId="0" applyAlignment="1" applyBorder="1" applyFont="1">
      <alignment horizontal="center" shrinkToFit="0" vertical="center" wrapText="0"/>
    </xf>
    <xf borderId="7" fillId="4" fontId="8" numFmtId="3" xfId="0" applyAlignment="1" applyBorder="1" applyFill="1" applyFont="1" applyNumberFormat="1">
      <alignment horizontal="center"/>
    </xf>
    <xf borderId="42" fillId="0" fontId="8" numFmtId="0" xfId="0" applyAlignment="1" applyBorder="1" applyFont="1">
      <alignment horizontal="center" shrinkToFit="0" vertical="center" wrapText="0"/>
    </xf>
    <xf borderId="43" fillId="2" fontId="18" numFmtId="0" xfId="0" applyAlignment="1" applyBorder="1" applyFill="1" applyFont="1">
      <alignment horizontal="center" vertical="center"/>
    </xf>
    <xf borderId="44" fillId="0" fontId="5" numFmtId="0" xfId="0" applyBorder="1" applyFont="1"/>
    <xf borderId="45" fillId="2" fontId="18" numFmtId="0" xfId="0" applyAlignment="1" applyBorder="1" applyFill="1" applyFont="1">
      <alignment horizontal="center" vertical="center"/>
    </xf>
    <xf borderId="46" fillId="0" fontId="5" numFmtId="0" xfId="0" applyBorder="1" applyFont="1"/>
    <xf borderId="7" fillId="10" fontId="7" numFmtId="0" xfId="0" applyAlignment="1" applyBorder="1" applyFill="1" applyFont="1">
      <alignment horizontal="center" vertical="center"/>
    </xf>
    <xf borderId="7" fillId="0" fontId="15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readingOrder="0" vertical="center"/>
    </xf>
    <xf borderId="7" fillId="3" fontId="8" numFmtId="3" xfId="0" applyAlignment="1" applyBorder="1" applyFill="1" applyFont="1" applyNumberFormat="1">
      <alignment horizontal="center" vertical="center"/>
    </xf>
    <xf borderId="7" fillId="4" fontId="8" numFmtId="4" xfId="0" applyAlignment="1" applyBorder="1" applyFill="1" applyFont="1" applyNumberFormat="1">
      <alignment horizontal="center" vertical="center"/>
    </xf>
    <xf borderId="7" fillId="4" fontId="15" numFmtId="4" xfId="0" applyAlignment="1" applyBorder="1" applyFill="1" applyFont="1" applyNumberFormat="1">
      <alignment horizontal="center" vertical="center"/>
    </xf>
    <xf borderId="7" fillId="0" fontId="15" numFmtId="4" xfId="0" applyAlignment="1" applyBorder="1" applyFont="1" applyNumberFormat="1">
      <alignment horizontal="center" vertical="center"/>
    </xf>
    <xf borderId="7" fillId="7" fontId="20" numFmtId="0" xfId="0" applyAlignment="1" applyBorder="1" applyFill="1" applyFont="1">
      <alignment horizontal="center" vertical="center"/>
    </xf>
    <xf borderId="7" fillId="4" fontId="20" numFmtId="4" xfId="0" applyAlignment="1" applyBorder="1" applyFill="1" applyFont="1" applyNumberFormat="1">
      <alignment horizontal="center" vertical="center"/>
    </xf>
    <xf borderId="7" fillId="0" fontId="24" numFmtId="0" xfId="0" applyAlignment="1" applyBorder="1" applyFont="1">
      <alignment horizontal="center" vertical="center"/>
    </xf>
    <xf borderId="47" fillId="11" fontId="7" numFmtId="0" xfId="0" applyAlignment="1" applyBorder="1" applyFill="1" applyFont="1">
      <alignment horizontal="center" vertical="center"/>
    </xf>
    <xf borderId="48" fillId="0" fontId="5" numFmtId="0" xfId="0" applyBorder="1" applyFont="1"/>
    <xf borderId="49" fillId="0" fontId="5" numFmtId="0" xfId="0" applyBorder="1" applyFont="1"/>
    <xf borderId="50" fillId="12" fontId="25" numFmtId="0" xfId="0" applyAlignment="1" applyBorder="1" applyFill="1" applyFont="1">
      <alignment horizontal="center" vertical="center"/>
    </xf>
    <xf borderId="51" fillId="0" fontId="5" numFmtId="0" xfId="0" applyBorder="1" applyFont="1"/>
    <xf borderId="52" fillId="0" fontId="5" numFmtId="0" xfId="0" applyBorder="1" applyFont="1"/>
    <xf borderId="7" fillId="13" fontId="26" numFmtId="0" xfId="0" applyAlignment="1" applyBorder="1" applyFill="1" applyFont="1">
      <alignment horizontal="center" vertical="center"/>
    </xf>
    <xf borderId="7" fillId="13" fontId="26" numFmtId="3" xfId="0" applyAlignment="1" applyBorder="1" applyFill="1" applyFont="1" applyNumberFormat="1">
      <alignment horizontal="center" vertical="center"/>
    </xf>
    <xf borderId="7" fillId="13" fontId="26" numFmtId="4" xfId="0" applyAlignment="1" applyBorder="1" applyFill="1" applyFont="1" applyNumberFormat="1">
      <alignment horizontal="center" vertical="center"/>
    </xf>
    <xf borderId="53" fillId="12" fontId="25" numFmtId="0" xfId="0" applyAlignment="1" applyBorder="1" applyFill="1" applyFont="1">
      <alignment horizontal="center" vertical="center"/>
    </xf>
    <xf borderId="54" fillId="0" fontId="5" numFmtId="0" xfId="0" applyBorder="1" applyFont="1"/>
    <xf borderId="55" fillId="0" fontId="5" numFmtId="0" xfId="0" applyBorder="1" applyFont="1"/>
    <xf borderId="7" fillId="4" fontId="8" numFmtId="164" xfId="0" applyAlignment="1" applyBorder="1" applyFill="1" applyFont="1" applyNumberFormat="1">
      <alignment horizontal="center" vertical="center"/>
    </xf>
    <xf borderId="7" fillId="4" fontId="15" numFmtId="3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ipe Soal Gedu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38</xdr:row>
      <xdr:rowOff>0</xdr:rowOff>
    </xdr:from>
    <xdr:ext cx="4876800" cy="32480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3</xdr:row>
      <xdr:rowOff>104775</xdr:rowOff>
    </xdr:from>
    <xdr:ext cx="4876800" cy="360997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4876800" cy="36576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E2:I10" displayName="Tabel1" name="Tabel1" id="1">
  <tableColumns count="5">
    <tableColumn name="Parameter Struktur" id="1"/>
    <tableColumn name="Simbol" id="2"/>
    <tableColumn name="Nilai" id="3"/>
    <tableColumn name="Satuan" id="4"/>
    <tableColumn name="Keterangan / Formula" id="5"/>
  </tableColumns>
  <tableStyleInfo name="Tipe Soal Gedu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26.38"/>
    <col customWidth="1" min="6" max="6" width="30.13"/>
    <col customWidth="1" min="7" max="7" width="14.88"/>
    <col customWidth="1" min="8" max="8" width="13.13"/>
    <col customWidth="1" min="9" max="9" width="33.88"/>
    <col customWidth="1" min="10" max="10" width="26.38"/>
    <col customWidth="1" min="11" max="11" width="18.88"/>
    <col customWidth="1" min="12" max="12" width="62.5"/>
    <col customWidth="1" min="13" max="13" width="19.88"/>
    <col customWidth="1" min="14" max="14" width="22.25"/>
    <col customWidth="1" min="15" max="15" width="27.63"/>
  </cols>
  <sheetData>
    <row r="1" ht="28.5" customHeight="1">
      <c r="A1" s="1"/>
      <c r="B1" s="1"/>
      <c r="C1" s="1"/>
      <c r="D1" s="1"/>
      <c r="E1" s="4" t="s">
        <v>4</v>
      </c>
      <c r="F1" s="6"/>
      <c r="G1" s="6"/>
      <c r="H1" s="6"/>
      <c r="I1" s="6"/>
      <c r="J1" s="6"/>
      <c r="K1" s="6"/>
      <c r="L1" s="6"/>
      <c r="M1" s="6"/>
      <c r="N1" s="6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1"/>
      <c r="C2" s="1"/>
      <c r="D2" s="1"/>
      <c r="E2" s="23" t="s">
        <v>3</v>
      </c>
      <c r="F2" s="26" t="s">
        <v>5</v>
      </c>
      <c r="G2" s="26" t="s">
        <v>6</v>
      </c>
      <c r="H2" s="26" t="s">
        <v>7</v>
      </c>
      <c r="I2" s="32" t="s">
        <v>8</v>
      </c>
      <c r="J2" s="33"/>
      <c r="K2" s="10" t="s">
        <v>9</v>
      </c>
      <c r="L2" s="10" t="s">
        <v>10</v>
      </c>
      <c r="M2" s="10" t="s">
        <v>11</v>
      </c>
      <c r="N2" s="10" t="s">
        <v>12</v>
      </c>
      <c r="O2" s="3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36" t="s">
        <v>13</v>
      </c>
      <c r="F3" s="37" t="s">
        <v>14</v>
      </c>
      <c r="G3" s="42"/>
      <c r="H3" s="45" t="s">
        <v>15</v>
      </c>
      <c r="I3" s="47" t="s">
        <v>59</v>
      </c>
      <c r="J3" s="50"/>
      <c r="K3" s="52" t="s">
        <v>17</v>
      </c>
      <c r="L3" s="55">
        <v>10.0</v>
      </c>
      <c r="M3" s="56"/>
      <c r="N3" s="58"/>
      <c r="O3" s="24" t="s">
        <v>18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36" t="s">
        <v>19</v>
      </c>
      <c r="F4" s="37" t="s">
        <v>20</v>
      </c>
      <c r="G4" s="42"/>
      <c r="H4" s="45" t="s">
        <v>15</v>
      </c>
      <c r="I4" s="47" t="s">
        <v>59</v>
      </c>
      <c r="J4" s="50"/>
      <c r="K4" s="52" t="s">
        <v>21</v>
      </c>
      <c r="L4" s="55">
        <v>13.0</v>
      </c>
      <c r="M4" s="56"/>
      <c r="N4" s="58"/>
      <c r="O4" s="28" t="s">
        <v>22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36" t="s">
        <v>24</v>
      </c>
      <c r="F5" s="37" t="s">
        <v>25</v>
      </c>
      <c r="G5" s="42"/>
      <c r="H5" s="45" t="s">
        <v>15</v>
      </c>
      <c r="I5" s="47" t="s">
        <v>26</v>
      </c>
      <c r="J5" s="50"/>
      <c r="K5" s="52" t="s">
        <v>27</v>
      </c>
      <c r="L5" s="55">
        <v>22.0</v>
      </c>
      <c r="M5" s="56"/>
      <c r="N5" s="58"/>
      <c r="O5" s="3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36" t="s">
        <v>28</v>
      </c>
      <c r="F6" s="37" t="s">
        <v>29</v>
      </c>
      <c r="G6" s="75"/>
      <c r="H6" s="45" t="s">
        <v>30</v>
      </c>
      <c r="I6" s="47" t="s">
        <v>83</v>
      </c>
      <c r="J6" s="50"/>
      <c r="K6" s="79" t="s">
        <v>32</v>
      </c>
      <c r="L6" s="79" t="s">
        <v>33</v>
      </c>
      <c r="M6" s="79" t="s">
        <v>34</v>
      </c>
      <c r="N6" s="79" t="s">
        <v>35</v>
      </c>
      <c r="O6" s="3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36" t="s">
        <v>36</v>
      </c>
      <c r="F7" s="37" t="s">
        <v>37</v>
      </c>
      <c r="G7" s="75"/>
      <c r="H7" s="45" t="s">
        <v>30</v>
      </c>
      <c r="I7" s="47" t="s">
        <v>88</v>
      </c>
      <c r="J7" s="50"/>
      <c r="K7" s="79" t="s">
        <v>39</v>
      </c>
      <c r="L7" s="79" t="s">
        <v>40</v>
      </c>
      <c r="M7" s="79" t="s">
        <v>41</v>
      </c>
      <c r="N7" s="79" t="s">
        <v>42</v>
      </c>
      <c r="O7" s="3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36" t="s">
        <v>43</v>
      </c>
      <c r="F8" s="37" t="s">
        <v>44</v>
      </c>
      <c r="G8" s="75"/>
      <c r="H8" s="45" t="s">
        <v>30</v>
      </c>
      <c r="I8" s="47" t="s">
        <v>83</v>
      </c>
      <c r="J8" s="34"/>
      <c r="K8" s="34"/>
      <c r="L8" s="34"/>
      <c r="M8" s="34"/>
      <c r="N8" s="34"/>
      <c r="O8" s="3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36" t="s">
        <v>45</v>
      </c>
      <c r="F9" s="37" t="s">
        <v>46</v>
      </c>
      <c r="G9" s="88">
        <v>40.0</v>
      </c>
      <c r="H9" s="45" t="s">
        <v>15</v>
      </c>
      <c r="I9" s="47" t="s">
        <v>47</v>
      </c>
      <c r="J9" s="34"/>
      <c r="K9" s="34"/>
      <c r="L9" s="34"/>
      <c r="M9" s="34"/>
      <c r="N9" s="34"/>
      <c r="O9" s="3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90" t="s">
        <v>49</v>
      </c>
      <c r="F10" s="93" t="s">
        <v>50</v>
      </c>
      <c r="G10" s="99">
        <v>400.0</v>
      </c>
      <c r="H10" s="103" t="s">
        <v>15</v>
      </c>
      <c r="I10" s="105" t="s">
        <v>51</v>
      </c>
      <c r="J10" s="34"/>
      <c r="K10" s="34"/>
      <c r="L10" s="34"/>
      <c r="M10" s="34"/>
      <c r="N10" s="34"/>
      <c r="O10" s="3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1"/>
      <c r="C13" s="1"/>
      <c r="D13" s="1"/>
      <c r="E13" s="106" t="s">
        <v>107</v>
      </c>
      <c r="F13" s="49"/>
      <c r="G13" s="49"/>
      <c r="H13" s="49"/>
      <c r="I13" s="49"/>
      <c r="J13" s="49"/>
      <c r="K13" s="107"/>
      <c r="L13" s="108" t="s">
        <v>54</v>
      </c>
      <c r="M13" s="49"/>
      <c r="N13" s="49"/>
      <c r="O13" s="10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10" t="s">
        <v>55</v>
      </c>
      <c r="F14" s="110" t="s">
        <v>57</v>
      </c>
      <c r="G14" s="110" t="s">
        <v>10</v>
      </c>
      <c r="H14" s="110" t="s">
        <v>58</v>
      </c>
      <c r="I14" s="110" t="s">
        <v>60</v>
      </c>
      <c r="J14" s="110" t="s">
        <v>61</v>
      </c>
      <c r="K14" s="110" t="s">
        <v>62</v>
      </c>
      <c r="L14" s="110" t="s">
        <v>63</v>
      </c>
      <c r="M14" s="110" t="s">
        <v>64</v>
      </c>
      <c r="N14" s="110" t="s">
        <v>7</v>
      </c>
      <c r="O14" s="110" t="s">
        <v>65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11" t="s">
        <v>66</v>
      </c>
      <c r="F15" s="112" t="s">
        <v>67</v>
      </c>
      <c r="G15" s="55">
        <v>22.0</v>
      </c>
      <c r="H15" s="113"/>
      <c r="I15" s="114"/>
      <c r="J15" s="114"/>
      <c r="K15" s="115"/>
      <c r="L15" s="111" t="s">
        <v>68</v>
      </c>
      <c r="M15" s="116">
        <f>K24</f>
        <v>0</v>
      </c>
      <c r="N15" s="52" t="s">
        <v>69</v>
      </c>
      <c r="O15" s="52" t="s">
        <v>70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11" t="s">
        <v>71</v>
      </c>
      <c r="F16" s="112" t="s">
        <v>72</v>
      </c>
      <c r="G16" s="55">
        <v>22.0</v>
      </c>
      <c r="H16" s="113"/>
      <c r="I16" s="114"/>
      <c r="J16" s="114"/>
      <c r="K16" s="115"/>
      <c r="L16" s="111" t="s">
        <v>108</v>
      </c>
      <c r="M16" s="115">
        <f>($G$3/1000)*($G$4/1000)*($G$5/1000)</f>
        <v>0</v>
      </c>
      <c r="N16" s="52" t="s">
        <v>76</v>
      </c>
      <c r="O16" s="52" t="s">
        <v>77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11" t="s">
        <v>78</v>
      </c>
      <c r="F17" s="112" t="s">
        <v>79</v>
      </c>
      <c r="G17" s="55">
        <v>22.0</v>
      </c>
      <c r="H17" s="113"/>
      <c r="I17" s="114"/>
      <c r="J17" s="114"/>
      <c r="K17" s="115"/>
      <c r="L17" s="117" t="s">
        <v>80</v>
      </c>
      <c r="M17" s="118"/>
      <c r="N17" s="117" t="s">
        <v>81</v>
      </c>
      <c r="O17" s="117" t="str">
        <f>IF(AND(M17&gt;=150, M17&lt;=250), "Efektif &amp; Efisien (SNI)", "Periksa Desain")</f>
        <v>Periksa Desain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11" t="s">
        <v>82</v>
      </c>
      <c r="F18" s="119" t="s">
        <v>67</v>
      </c>
      <c r="G18" s="55">
        <v>22.0</v>
      </c>
      <c r="H18" s="113"/>
      <c r="I18" s="114"/>
      <c r="J18" s="114"/>
      <c r="K18" s="115"/>
      <c r="L18" s="34"/>
      <c r="M18" s="34"/>
      <c r="N18" s="34"/>
      <c r="O18" s="3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11" t="s">
        <v>84</v>
      </c>
      <c r="F19" s="119" t="s">
        <v>85</v>
      </c>
      <c r="G19" s="55">
        <v>13.0</v>
      </c>
      <c r="H19" s="113"/>
      <c r="I19" s="114"/>
      <c r="J19" s="114"/>
      <c r="K19" s="115"/>
      <c r="L19" s="120" t="s">
        <v>86</v>
      </c>
      <c r="M19" s="121"/>
      <c r="N19" s="121"/>
      <c r="O19" s="12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11" t="s">
        <v>87</v>
      </c>
      <c r="F20" s="119" t="s">
        <v>85</v>
      </c>
      <c r="G20" s="55">
        <v>13.0</v>
      </c>
      <c r="H20" s="113"/>
      <c r="I20" s="114"/>
      <c r="J20" s="114"/>
      <c r="K20" s="115"/>
      <c r="L20" s="123" t="s">
        <v>89</v>
      </c>
      <c r="M20" s="124"/>
      <c r="N20" s="124"/>
      <c r="O20" s="12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11" t="s">
        <v>90</v>
      </c>
      <c r="F21" s="119" t="s">
        <v>91</v>
      </c>
      <c r="G21" s="55">
        <v>10.0</v>
      </c>
      <c r="H21" s="113"/>
      <c r="I21" s="114"/>
      <c r="J21" s="114"/>
      <c r="K21" s="115"/>
      <c r="L21" s="123" t="s">
        <v>92</v>
      </c>
      <c r="M21" s="124"/>
      <c r="N21" s="124"/>
      <c r="O21" s="12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11" t="s">
        <v>93</v>
      </c>
      <c r="F22" s="119" t="s">
        <v>94</v>
      </c>
      <c r="G22" s="55">
        <v>10.0</v>
      </c>
      <c r="H22" s="113"/>
      <c r="I22" s="114"/>
      <c r="J22" s="114"/>
      <c r="K22" s="115"/>
      <c r="L22" s="123" t="s">
        <v>95</v>
      </c>
      <c r="M22" s="124"/>
      <c r="N22" s="124"/>
      <c r="O22" s="12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11" t="s">
        <v>96</v>
      </c>
      <c r="F23" s="119" t="s">
        <v>91</v>
      </c>
      <c r="G23" s="55">
        <v>10.0</v>
      </c>
      <c r="H23" s="113"/>
      <c r="I23" s="114"/>
      <c r="J23" s="114"/>
      <c r="K23" s="115"/>
      <c r="L23" s="123" t="s">
        <v>97</v>
      </c>
      <c r="M23" s="124"/>
      <c r="N23" s="124"/>
      <c r="O23" s="12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26" t="s">
        <v>109</v>
      </c>
      <c r="F24" s="126" t="s">
        <v>99</v>
      </c>
      <c r="G24" s="126" t="s">
        <v>100</v>
      </c>
      <c r="H24" s="127">
        <f>SUM(H15:H23)</f>
        <v>0</v>
      </c>
      <c r="I24" s="126" t="s">
        <v>100</v>
      </c>
      <c r="J24" s="128">
        <f t="shared" ref="J24:K24" si="1">SUM(J15:J23)</f>
        <v>0</v>
      </c>
      <c r="K24" s="128">
        <f t="shared" si="1"/>
        <v>0</v>
      </c>
      <c r="L24" s="129" t="s">
        <v>102</v>
      </c>
      <c r="M24" s="130"/>
      <c r="N24" s="130"/>
      <c r="O24" s="13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/>
      <c r="B25" s="1"/>
      <c r="C25" s="1"/>
      <c r="D25" s="1"/>
      <c r="E25" s="10" t="s">
        <v>103</v>
      </c>
      <c r="F25" s="10" t="s">
        <v>12</v>
      </c>
      <c r="G25" s="10" t="s">
        <v>61</v>
      </c>
      <c r="H25" s="10" t="s">
        <v>62</v>
      </c>
      <c r="I25" s="10" t="s">
        <v>104</v>
      </c>
      <c r="J25" s="10" t="s">
        <v>105</v>
      </c>
      <c r="K25" s="34"/>
      <c r="L25" s="34"/>
      <c r="M25" s="34"/>
      <c r="N25" s="34"/>
      <c r="O25" s="3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11" t="s">
        <v>17</v>
      </c>
      <c r="F26" s="132"/>
      <c r="G26" s="115"/>
      <c r="H26" s="115"/>
      <c r="I26" s="114"/>
      <c r="J26" s="133"/>
      <c r="K26" s="34"/>
      <c r="L26" s="34"/>
      <c r="M26" s="34"/>
      <c r="N26" s="34"/>
      <c r="O26" s="3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11" t="s">
        <v>21</v>
      </c>
      <c r="F27" s="132"/>
      <c r="G27" s="115"/>
      <c r="H27" s="115"/>
      <c r="I27" s="114"/>
      <c r="J27" s="133"/>
      <c r="K27" s="34"/>
      <c r="L27" s="34"/>
      <c r="M27" s="34"/>
      <c r="N27" s="34"/>
      <c r="O27" s="3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11" t="s">
        <v>27</v>
      </c>
      <c r="F28" s="132"/>
      <c r="G28" s="115"/>
      <c r="H28" s="115"/>
      <c r="I28" s="114"/>
      <c r="J28" s="133"/>
      <c r="K28" s="34"/>
      <c r="L28" s="34"/>
      <c r="M28" s="34"/>
      <c r="N28" s="34"/>
      <c r="O28" s="3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26" t="s">
        <v>106</v>
      </c>
      <c r="F29" s="126" t="s">
        <v>100</v>
      </c>
      <c r="G29" s="128">
        <f t="shared" ref="G29:J29" si="2">SUM(G26:G28)</f>
        <v>0</v>
      </c>
      <c r="H29" s="128">
        <f t="shared" si="2"/>
        <v>0</v>
      </c>
      <c r="I29" s="128">
        <f t="shared" si="2"/>
        <v>0</v>
      </c>
      <c r="J29" s="127">
        <f t="shared" si="2"/>
        <v>0</v>
      </c>
      <c r="K29" s="34"/>
      <c r="L29" s="34"/>
      <c r="M29" s="34"/>
      <c r="N29" s="34"/>
      <c r="O29" s="3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L23:O23"/>
    <mergeCell ref="L24:O24"/>
    <mergeCell ref="E1:O1"/>
    <mergeCell ref="E13:K13"/>
    <mergeCell ref="L13:O13"/>
    <mergeCell ref="L19:O19"/>
    <mergeCell ref="L20:O20"/>
    <mergeCell ref="L21:O21"/>
    <mergeCell ref="L22:O22"/>
  </mergeCells>
  <dataValidations>
    <dataValidation type="custom" allowBlank="1" showDropDown="1" sqref="G3:G10">
      <formula1/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8" width="12.63"/>
    <col customWidth="1" min="9" max="9" width="26.38"/>
    <col customWidth="1" min="10" max="10" width="30.13"/>
    <col customWidth="1" min="11" max="11" width="14.88"/>
    <col customWidth="1" min="12" max="12" width="13.13"/>
    <col customWidth="1" min="13" max="13" width="33.88"/>
    <col customWidth="1" min="14" max="14" width="17.63"/>
    <col customWidth="1" min="15" max="15" width="20.13"/>
    <col customWidth="1" min="16" max="16" width="23.88"/>
    <col customWidth="1" min="17" max="17" width="20.75"/>
    <col customWidth="1" min="18" max="18" width="17.63"/>
    <col customWidth="1" min="19" max="19" width="33.88"/>
  </cols>
  <sheetData>
    <row r="1" ht="28.5" customHeight="1">
      <c r="A1" s="1"/>
      <c r="B1" s="1"/>
      <c r="C1" s="1"/>
      <c r="D1" s="1"/>
      <c r="E1" s="1"/>
      <c r="F1" s="1"/>
      <c r="G1" s="1"/>
      <c r="H1" s="1"/>
      <c r="I1" s="3" t="s">
        <v>1</v>
      </c>
      <c r="J1" s="5"/>
      <c r="K1" s="5"/>
      <c r="L1" s="5"/>
      <c r="M1" s="5"/>
      <c r="N1" s="5"/>
      <c r="O1" s="5"/>
      <c r="P1" s="5"/>
      <c r="Q1" s="5"/>
      <c r="R1" s="5"/>
      <c r="S1" s="7"/>
      <c r="T1" s="1"/>
      <c r="U1" s="1"/>
      <c r="V1" s="1"/>
      <c r="W1" s="1"/>
      <c r="X1" s="1"/>
      <c r="Y1" s="1"/>
      <c r="Z1" s="1"/>
    </row>
    <row r="2" ht="21.0" customHeight="1">
      <c r="A2" s="1"/>
      <c r="B2" s="1"/>
      <c r="C2" s="1"/>
      <c r="D2" s="1"/>
      <c r="E2" s="1"/>
      <c r="F2" s="1"/>
      <c r="G2" s="1"/>
      <c r="H2" s="1"/>
      <c r="I2" s="9" t="s">
        <v>3</v>
      </c>
      <c r="J2" s="9" t="s">
        <v>5</v>
      </c>
      <c r="K2" s="9" t="s">
        <v>6</v>
      </c>
      <c r="L2" s="9" t="s">
        <v>7</v>
      </c>
      <c r="M2" s="9" t="s">
        <v>8</v>
      </c>
      <c r="N2" s="11"/>
      <c r="O2" s="9" t="s">
        <v>9</v>
      </c>
      <c r="P2" s="9" t="s">
        <v>10</v>
      </c>
      <c r="Q2" s="9" t="s">
        <v>11</v>
      </c>
      <c r="R2" s="9" t="s">
        <v>12</v>
      </c>
      <c r="S2" s="1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5" t="s">
        <v>13</v>
      </c>
      <c r="J3" s="15" t="s">
        <v>14</v>
      </c>
      <c r="K3" s="17"/>
      <c r="L3" s="15" t="s">
        <v>15</v>
      </c>
      <c r="M3" s="15" t="s">
        <v>16</v>
      </c>
      <c r="N3" s="11"/>
      <c r="O3" s="15" t="s">
        <v>17</v>
      </c>
      <c r="P3" s="18">
        <v>10.0</v>
      </c>
      <c r="Q3" s="20"/>
      <c r="R3" s="22"/>
      <c r="S3" s="24" t="s">
        <v>18</v>
      </c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5" t="s">
        <v>19</v>
      </c>
      <c r="J4" s="15" t="s">
        <v>20</v>
      </c>
      <c r="K4" s="17"/>
      <c r="L4" s="15" t="s">
        <v>15</v>
      </c>
      <c r="M4" s="15" t="s">
        <v>16</v>
      </c>
      <c r="N4" s="11"/>
      <c r="O4" s="15" t="s">
        <v>21</v>
      </c>
      <c r="P4" s="18">
        <v>13.0</v>
      </c>
      <c r="Q4" s="20"/>
      <c r="R4" s="22"/>
      <c r="S4" s="28" t="s">
        <v>22</v>
      </c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5" t="s">
        <v>24</v>
      </c>
      <c r="J5" s="15" t="s">
        <v>25</v>
      </c>
      <c r="K5" s="17"/>
      <c r="L5" s="15" t="s">
        <v>15</v>
      </c>
      <c r="M5" s="15" t="s">
        <v>26</v>
      </c>
      <c r="N5" s="11"/>
      <c r="O5" s="15" t="s">
        <v>27</v>
      </c>
      <c r="P5" s="18">
        <v>22.0</v>
      </c>
      <c r="Q5" s="20"/>
      <c r="R5" s="22"/>
      <c r="S5" s="1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5" t="s">
        <v>28</v>
      </c>
      <c r="J6" s="15" t="s">
        <v>29</v>
      </c>
      <c r="K6" s="22"/>
      <c r="L6" s="15" t="s">
        <v>30</v>
      </c>
      <c r="M6" s="15" t="s">
        <v>31</v>
      </c>
      <c r="N6" s="11"/>
      <c r="O6" s="15" t="s">
        <v>32</v>
      </c>
      <c r="P6" s="15" t="s">
        <v>33</v>
      </c>
      <c r="Q6" s="15" t="s">
        <v>34</v>
      </c>
      <c r="R6" s="15" t="s">
        <v>35</v>
      </c>
      <c r="S6" s="1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5" t="s">
        <v>36</v>
      </c>
      <c r="J7" s="15" t="s">
        <v>37</v>
      </c>
      <c r="K7" s="22"/>
      <c r="L7" s="15" t="s">
        <v>30</v>
      </c>
      <c r="M7" s="15" t="s">
        <v>38</v>
      </c>
      <c r="N7" s="11"/>
      <c r="O7" s="15" t="s">
        <v>39</v>
      </c>
      <c r="P7" s="15" t="s">
        <v>40</v>
      </c>
      <c r="Q7" s="15" t="s">
        <v>41</v>
      </c>
      <c r="R7" s="15" t="s">
        <v>42</v>
      </c>
      <c r="S7" s="1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5" t="s">
        <v>43</v>
      </c>
      <c r="J8" s="15" t="s">
        <v>44</v>
      </c>
      <c r="K8" s="22"/>
      <c r="L8" s="15" t="s">
        <v>30</v>
      </c>
      <c r="M8" s="15" t="s">
        <v>31</v>
      </c>
      <c r="N8" s="11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1"/>
      <c r="E9" s="1"/>
      <c r="F9" s="1"/>
      <c r="G9" s="1"/>
      <c r="H9" s="1"/>
      <c r="I9" s="15" t="s">
        <v>45</v>
      </c>
      <c r="J9" s="15" t="s">
        <v>46</v>
      </c>
      <c r="K9" s="22"/>
      <c r="L9" s="15" t="s">
        <v>15</v>
      </c>
      <c r="M9" s="15" t="s">
        <v>47</v>
      </c>
      <c r="N9" s="11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5" t="s">
        <v>49</v>
      </c>
      <c r="J10" s="15" t="s">
        <v>50</v>
      </c>
      <c r="K10" s="22"/>
      <c r="L10" s="15" t="s">
        <v>15</v>
      </c>
      <c r="M10" s="15" t="s">
        <v>51</v>
      </c>
      <c r="N10" s="11"/>
      <c r="O10" s="11"/>
      <c r="P10" s="11"/>
      <c r="Q10" s="11"/>
      <c r="R10" s="11"/>
      <c r="S10" s="1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1"/>
      <c r="C13" s="1"/>
      <c r="D13" s="1"/>
      <c r="E13" s="1"/>
      <c r="F13" s="1"/>
      <c r="G13" s="1"/>
      <c r="H13" s="1"/>
      <c r="I13" s="38" t="s">
        <v>53</v>
      </c>
      <c r="J13" s="39"/>
      <c r="K13" s="39"/>
      <c r="L13" s="39"/>
      <c r="M13" s="39"/>
      <c r="N13" s="39"/>
      <c r="O13" s="40"/>
      <c r="P13" s="41" t="s">
        <v>54</v>
      </c>
      <c r="Q13" s="43"/>
      <c r="R13" s="43"/>
      <c r="S13" s="44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9" t="s">
        <v>55</v>
      </c>
      <c r="J14" s="9" t="s">
        <v>57</v>
      </c>
      <c r="K14" s="9" t="s">
        <v>10</v>
      </c>
      <c r="L14" s="9" t="s">
        <v>58</v>
      </c>
      <c r="M14" s="9" t="s">
        <v>60</v>
      </c>
      <c r="N14" s="9" t="s">
        <v>61</v>
      </c>
      <c r="O14" s="9" t="s">
        <v>62</v>
      </c>
      <c r="P14" s="48" t="s">
        <v>63</v>
      </c>
      <c r="Q14" s="51" t="s">
        <v>64</v>
      </c>
      <c r="R14" s="51" t="s">
        <v>7</v>
      </c>
      <c r="S14" s="54" t="s">
        <v>65</v>
      </c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5" t="s">
        <v>66</v>
      </c>
      <c r="J15" s="57" t="s">
        <v>67</v>
      </c>
      <c r="K15" s="18">
        <v>22.0</v>
      </c>
      <c r="L15" s="59"/>
      <c r="M15" s="60"/>
      <c r="N15" s="60"/>
      <c r="O15" s="60"/>
      <c r="P15" s="61" t="s">
        <v>68</v>
      </c>
      <c r="Q15" s="67">
        <f>O24</f>
        <v>0</v>
      </c>
      <c r="R15" s="68" t="s">
        <v>69</v>
      </c>
      <c r="S15" s="69" t="s">
        <v>70</v>
      </c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5" t="s">
        <v>71</v>
      </c>
      <c r="J16" s="57" t="s">
        <v>72</v>
      </c>
      <c r="K16" s="18">
        <v>22.0</v>
      </c>
      <c r="L16" s="59" t="s">
        <v>73</v>
      </c>
      <c r="M16" s="60"/>
      <c r="N16" s="60"/>
      <c r="O16" s="60"/>
      <c r="P16" s="61" t="s">
        <v>74</v>
      </c>
      <c r="Q16" s="73">
        <f>($K$3/1000)*($K$4/1000)*($K$5/1000)</f>
        <v>0</v>
      </c>
      <c r="R16" s="68" t="s">
        <v>76</v>
      </c>
      <c r="S16" s="69" t="s">
        <v>77</v>
      </c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5" t="s">
        <v>78</v>
      </c>
      <c r="J17" s="57" t="s">
        <v>79</v>
      </c>
      <c r="K17" s="18">
        <v>22.0</v>
      </c>
      <c r="L17" s="59"/>
      <c r="M17" s="60"/>
      <c r="N17" s="60"/>
      <c r="O17" s="60"/>
      <c r="P17" s="74" t="s">
        <v>80</v>
      </c>
      <c r="Q17" s="76" t="str">
        <f>Q15/Q16</f>
        <v>#DIV/0!</v>
      </c>
      <c r="R17" s="78" t="s">
        <v>81</v>
      </c>
      <c r="S17" s="82" t="str">
        <f>IF(AND(Q17&gt;=150, Q17&lt;=250), "Efektif &amp; Efisien (SNI)", "Periksa Desain")</f>
        <v>#DIV/0!</v>
      </c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5" t="s">
        <v>82</v>
      </c>
      <c r="J18" s="15" t="s">
        <v>67</v>
      </c>
      <c r="K18" s="18">
        <v>22.0</v>
      </c>
      <c r="L18" s="59"/>
      <c r="M18" s="60"/>
      <c r="N18" s="60"/>
      <c r="O18" s="60"/>
      <c r="P18" s="11"/>
      <c r="Q18" s="11"/>
      <c r="R18" s="11"/>
      <c r="S18" s="1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5" t="s">
        <v>84</v>
      </c>
      <c r="J19" s="15" t="s">
        <v>85</v>
      </c>
      <c r="K19" s="18">
        <v>13.0</v>
      </c>
      <c r="L19" s="59"/>
      <c r="M19" s="60"/>
      <c r="N19" s="60"/>
      <c r="O19" s="60"/>
      <c r="P19" s="85" t="s">
        <v>86</v>
      </c>
      <c r="Q19" s="43"/>
      <c r="R19" s="43"/>
      <c r="S19" s="44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5" t="s">
        <v>87</v>
      </c>
      <c r="J20" s="15" t="s">
        <v>85</v>
      </c>
      <c r="K20" s="18">
        <v>13.0</v>
      </c>
      <c r="L20" s="59"/>
      <c r="M20" s="60"/>
      <c r="N20" s="60"/>
      <c r="O20" s="60"/>
      <c r="P20" s="86" t="s">
        <v>89</v>
      </c>
      <c r="Q20" s="83"/>
      <c r="R20" s="83"/>
      <c r="S20" s="84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5" t="s">
        <v>90</v>
      </c>
      <c r="J21" s="15" t="s">
        <v>91</v>
      </c>
      <c r="K21" s="18">
        <v>10.0</v>
      </c>
      <c r="L21" s="59"/>
      <c r="M21" s="60"/>
      <c r="N21" s="60"/>
      <c r="O21" s="60"/>
      <c r="P21" s="86" t="s">
        <v>92</v>
      </c>
      <c r="Q21" s="83"/>
      <c r="R21" s="83"/>
      <c r="S21" s="84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5" t="s">
        <v>93</v>
      </c>
      <c r="J22" s="15" t="s">
        <v>94</v>
      </c>
      <c r="K22" s="18">
        <v>10.0</v>
      </c>
      <c r="L22" s="59"/>
      <c r="M22" s="60"/>
      <c r="N22" s="60"/>
      <c r="O22" s="60"/>
      <c r="P22" s="86" t="s">
        <v>95</v>
      </c>
      <c r="Q22" s="83"/>
      <c r="R22" s="83"/>
      <c r="S22" s="84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5" t="s">
        <v>96</v>
      </c>
      <c r="J23" s="15" t="s">
        <v>91</v>
      </c>
      <c r="K23" s="18">
        <v>10.0</v>
      </c>
      <c r="L23" s="59"/>
      <c r="M23" s="60"/>
      <c r="N23" s="60"/>
      <c r="O23" s="60"/>
      <c r="P23" s="86" t="s">
        <v>97</v>
      </c>
      <c r="Q23" s="83"/>
      <c r="R23" s="83"/>
      <c r="S23" s="84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91" t="s">
        <v>101</v>
      </c>
      <c r="J24" s="91" t="s">
        <v>99</v>
      </c>
      <c r="K24" s="91" t="s">
        <v>100</v>
      </c>
      <c r="L24" s="94">
        <f>SUM(L15:L23)</f>
        <v>0</v>
      </c>
      <c r="M24" s="96" t="s">
        <v>100</v>
      </c>
      <c r="N24" s="96">
        <f t="shared" ref="N24:O24" si="1">SUM(N15:N23)</f>
        <v>0</v>
      </c>
      <c r="O24" s="96">
        <f t="shared" si="1"/>
        <v>0</v>
      </c>
      <c r="P24" s="100" t="s">
        <v>102</v>
      </c>
      <c r="Q24" s="97"/>
      <c r="R24" s="97"/>
      <c r="S24" s="98"/>
      <c r="T24" s="1"/>
      <c r="U24" s="1"/>
      <c r="V24" s="1"/>
      <c r="W24" s="1"/>
      <c r="X24" s="1"/>
      <c r="Y24" s="1"/>
      <c r="Z24" s="1"/>
    </row>
    <row r="25" ht="21.0" customHeight="1">
      <c r="A25" s="1"/>
      <c r="B25" s="1"/>
      <c r="C25" s="1"/>
      <c r="D25" s="1"/>
      <c r="E25" s="1"/>
      <c r="F25" s="1"/>
      <c r="G25" s="1"/>
      <c r="H25" s="1"/>
      <c r="I25" s="9" t="s">
        <v>103</v>
      </c>
      <c r="J25" s="9" t="s">
        <v>12</v>
      </c>
      <c r="K25" s="9" t="s">
        <v>61</v>
      </c>
      <c r="L25" s="9" t="s">
        <v>62</v>
      </c>
      <c r="M25" s="9" t="s">
        <v>104</v>
      </c>
      <c r="N25" s="9" t="s">
        <v>105</v>
      </c>
      <c r="O25" s="11"/>
      <c r="P25" s="11"/>
      <c r="Q25" s="11"/>
      <c r="R25" s="11"/>
      <c r="S25" s="1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5" t="s">
        <v>17</v>
      </c>
      <c r="J26" s="22"/>
      <c r="K26" s="60"/>
      <c r="L26" s="60"/>
      <c r="M26" s="60"/>
      <c r="N26" s="104"/>
      <c r="O26" s="11"/>
      <c r="P26" s="11"/>
      <c r="Q26" s="11"/>
      <c r="R26" s="11"/>
      <c r="S26" s="1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5" t="s">
        <v>21</v>
      </c>
      <c r="J27" s="22"/>
      <c r="K27" s="60"/>
      <c r="L27" s="60"/>
      <c r="M27" s="60"/>
      <c r="N27" s="104"/>
      <c r="O27" s="11"/>
      <c r="P27" s="11"/>
      <c r="Q27" s="11"/>
      <c r="R27" s="11"/>
      <c r="S27" s="1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5" t="s">
        <v>27</v>
      </c>
      <c r="J28" s="22"/>
      <c r="K28" s="60"/>
      <c r="L28" s="60"/>
      <c r="M28" s="60"/>
      <c r="N28" s="104"/>
      <c r="O28" s="11"/>
      <c r="P28" s="11"/>
      <c r="Q28" s="11"/>
      <c r="R28" s="11"/>
      <c r="S28" s="1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91" t="s">
        <v>106</v>
      </c>
      <c r="J29" s="91" t="s">
        <v>100</v>
      </c>
      <c r="K29" s="96">
        <f t="shared" ref="K29:N29" si="2">SUM(K26:K28)</f>
        <v>0</v>
      </c>
      <c r="L29" s="96">
        <f t="shared" si="2"/>
        <v>0</v>
      </c>
      <c r="M29" s="96">
        <f t="shared" si="2"/>
        <v>0</v>
      </c>
      <c r="N29" s="94">
        <f t="shared" si="2"/>
        <v>0</v>
      </c>
      <c r="O29" s="11"/>
      <c r="P29" s="11"/>
      <c r="Q29" s="11"/>
      <c r="R29" s="11"/>
      <c r="S29" s="1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P23:S23"/>
    <mergeCell ref="P24:S24"/>
    <mergeCell ref="I1:S1"/>
    <mergeCell ref="I13:O13"/>
    <mergeCell ref="P13:S13"/>
    <mergeCell ref="P19:S19"/>
    <mergeCell ref="P20:S20"/>
    <mergeCell ref="P21:S21"/>
    <mergeCell ref="P22:S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32.5"/>
    <col customWidth="1" min="8" max="8" width="30.13"/>
    <col customWidth="1" min="9" max="9" width="15.13"/>
    <col customWidth="1" min="10" max="10" width="13.88"/>
    <col customWidth="1" min="11" max="11" width="36.5"/>
    <col customWidth="1" min="12" max="12" width="17.63"/>
    <col customWidth="1" min="13" max="13" width="20.13"/>
    <col customWidth="1" min="14" max="14" width="23.88"/>
    <col customWidth="1" min="15" max="15" width="20.75"/>
    <col customWidth="1" min="16" max="16" width="17.63"/>
    <col customWidth="1" min="17" max="17" width="33.88"/>
  </cols>
  <sheetData>
    <row r="1">
      <c r="A1" s="2" t="s">
        <v>0</v>
      </c>
      <c r="B1" s="1"/>
      <c r="C1" s="1"/>
      <c r="D1" s="1"/>
      <c r="E1" s="1"/>
      <c r="F1" s="1"/>
      <c r="G1" s="4" t="s">
        <v>2</v>
      </c>
      <c r="H1" s="6"/>
      <c r="I1" s="6"/>
      <c r="J1" s="6"/>
      <c r="K1" s="6"/>
      <c r="L1" s="6"/>
      <c r="M1" s="6"/>
      <c r="N1" s="6"/>
      <c r="O1" s="6"/>
      <c r="P1" s="6"/>
      <c r="Q1" s="8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0" t="s">
        <v>3</v>
      </c>
      <c r="H2" s="10" t="s">
        <v>5</v>
      </c>
      <c r="I2" s="10" t="s">
        <v>6</v>
      </c>
      <c r="J2" s="10" t="s">
        <v>7</v>
      </c>
      <c r="K2" s="10" t="s">
        <v>8</v>
      </c>
      <c r="L2" s="12"/>
      <c r="M2" s="13" t="s">
        <v>9</v>
      </c>
      <c r="N2" s="14" t="s">
        <v>10</v>
      </c>
      <c r="O2" s="14" t="s">
        <v>11</v>
      </c>
      <c r="P2" s="16" t="s">
        <v>12</v>
      </c>
      <c r="Q2" s="12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9" t="s">
        <v>13</v>
      </c>
      <c r="H3" s="21" t="s">
        <v>14</v>
      </c>
      <c r="I3" s="25"/>
      <c r="J3" s="27" t="s">
        <v>15</v>
      </c>
      <c r="K3" s="27" t="s">
        <v>23</v>
      </c>
      <c r="L3" s="12"/>
      <c r="M3" s="19" t="s">
        <v>17</v>
      </c>
      <c r="N3" s="29">
        <v>10.0</v>
      </c>
      <c r="O3" s="30"/>
      <c r="P3" s="31"/>
      <c r="Q3" s="24" t="s">
        <v>18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9" t="s">
        <v>19</v>
      </c>
      <c r="H4" s="21" t="s">
        <v>20</v>
      </c>
      <c r="I4" s="25"/>
      <c r="J4" s="27" t="s">
        <v>15</v>
      </c>
      <c r="K4" s="27" t="s">
        <v>23</v>
      </c>
      <c r="L4" s="12"/>
      <c r="M4" s="19" t="s">
        <v>21</v>
      </c>
      <c r="N4" s="29">
        <v>13.0</v>
      </c>
      <c r="O4" s="30"/>
      <c r="P4" s="31"/>
      <c r="Q4" s="28" t="s">
        <v>22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9" t="s">
        <v>24</v>
      </c>
      <c r="H5" s="21" t="s">
        <v>25</v>
      </c>
      <c r="I5" s="25"/>
      <c r="J5" s="27" t="s">
        <v>15</v>
      </c>
      <c r="K5" s="27" t="s">
        <v>26</v>
      </c>
      <c r="L5" s="12"/>
      <c r="M5" s="19" t="s">
        <v>27</v>
      </c>
      <c r="N5" s="29">
        <v>22.0</v>
      </c>
      <c r="O5" s="30"/>
      <c r="P5" s="31"/>
      <c r="Q5" s="12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9" t="s">
        <v>28</v>
      </c>
      <c r="H6" s="21" t="s">
        <v>29</v>
      </c>
      <c r="I6" s="31"/>
      <c r="J6" s="27" t="s">
        <v>30</v>
      </c>
      <c r="K6" s="27" t="s">
        <v>48</v>
      </c>
      <c r="L6" s="12"/>
      <c r="M6" s="35" t="s">
        <v>32</v>
      </c>
      <c r="N6" s="35" t="s">
        <v>33</v>
      </c>
      <c r="O6" s="35" t="s">
        <v>34</v>
      </c>
      <c r="P6" s="35" t="s">
        <v>35</v>
      </c>
      <c r="Q6" s="12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9" t="s">
        <v>36</v>
      </c>
      <c r="H7" s="21" t="s">
        <v>37</v>
      </c>
      <c r="I7" s="31"/>
      <c r="J7" s="27" t="s">
        <v>30</v>
      </c>
      <c r="K7" s="27" t="s">
        <v>52</v>
      </c>
      <c r="L7" s="12"/>
      <c r="M7" s="35" t="s">
        <v>39</v>
      </c>
      <c r="N7" s="35" t="s">
        <v>40</v>
      </c>
      <c r="O7" s="35" t="s">
        <v>41</v>
      </c>
      <c r="P7" s="35" t="s">
        <v>42</v>
      </c>
      <c r="Q7" s="12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9" t="s">
        <v>43</v>
      </c>
      <c r="H8" s="21" t="s">
        <v>44</v>
      </c>
      <c r="I8" s="31"/>
      <c r="J8" s="27" t="s">
        <v>30</v>
      </c>
      <c r="K8" s="27" t="s">
        <v>48</v>
      </c>
      <c r="L8" s="12"/>
      <c r="M8" s="12"/>
      <c r="N8" s="12"/>
      <c r="O8" s="12"/>
      <c r="P8" s="12"/>
      <c r="Q8" s="12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9" t="s">
        <v>45</v>
      </c>
      <c r="H9" s="21" t="s">
        <v>46</v>
      </c>
      <c r="I9" s="31"/>
      <c r="J9" s="27" t="s">
        <v>15</v>
      </c>
      <c r="K9" s="27" t="s">
        <v>47</v>
      </c>
      <c r="L9" s="12"/>
      <c r="M9" s="12"/>
      <c r="N9" s="12"/>
      <c r="O9" s="12"/>
      <c r="P9" s="12"/>
      <c r="Q9" s="12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9" t="s">
        <v>49</v>
      </c>
      <c r="H10" s="21" t="s">
        <v>50</v>
      </c>
      <c r="I10" s="31"/>
      <c r="J10" s="27" t="s">
        <v>15</v>
      </c>
      <c r="K10" s="27" t="s">
        <v>51</v>
      </c>
      <c r="L10" s="12"/>
      <c r="M10" s="12"/>
      <c r="N10" s="12"/>
      <c r="O10" s="12"/>
      <c r="P10" s="12"/>
      <c r="Q10" s="12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46" t="s">
        <v>56</v>
      </c>
      <c r="H13" s="49"/>
      <c r="I13" s="49"/>
      <c r="J13" s="49"/>
      <c r="K13" s="49"/>
      <c r="L13" s="49"/>
      <c r="M13" s="53"/>
      <c r="N13" s="46" t="s">
        <v>54</v>
      </c>
      <c r="O13" s="49"/>
      <c r="P13" s="49"/>
      <c r="Q13" s="53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0" t="s">
        <v>55</v>
      </c>
      <c r="H14" s="10" t="s">
        <v>57</v>
      </c>
      <c r="I14" s="10" t="s">
        <v>10</v>
      </c>
      <c r="J14" s="10" t="s">
        <v>58</v>
      </c>
      <c r="K14" s="10" t="s">
        <v>60</v>
      </c>
      <c r="L14" s="10" t="s">
        <v>61</v>
      </c>
      <c r="M14" s="10" t="s">
        <v>62</v>
      </c>
      <c r="N14" s="10" t="s">
        <v>63</v>
      </c>
      <c r="O14" s="10" t="s">
        <v>64</v>
      </c>
      <c r="P14" s="10" t="s">
        <v>7</v>
      </c>
      <c r="Q14" s="10" t="s">
        <v>65</v>
      </c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9" t="s">
        <v>66</v>
      </c>
      <c r="H15" s="62" t="s">
        <v>67</v>
      </c>
      <c r="I15" s="63">
        <v>22.0</v>
      </c>
      <c r="J15" s="64"/>
      <c r="K15" s="65"/>
      <c r="L15" s="65"/>
      <c r="M15" s="66"/>
      <c r="N15" s="19" t="s">
        <v>68</v>
      </c>
      <c r="O15" s="70">
        <f>M24</f>
        <v>0</v>
      </c>
      <c r="P15" s="27" t="s">
        <v>69</v>
      </c>
      <c r="Q15" s="27" t="s">
        <v>70</v>
      </c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9" t="s">
        <v>71</v>
      </c>
      <c r="H16" s="62" t="s">
        <v>72</v>
      </c>
      <c r="I16" s="63">
        <v>22.0</v>
      </c>
      <c r="J16" s="64"/>
      <c r="K16" s="65"/>
      <c r="L16" s="65"/>
      <c r="M16" s="66"/>
      <c r="N16" s="19" t="s">
        <v>75</v>
      </c>
      <c r="O16" s="66"/>
      <c r="P16" s="27" t="s">
        <v>76</v>
      </c>
      <c r="Q16" s="27" t="s">
        <v>77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9" t="s">
        <v>78</v>
      </c>
      <c r="H17" s="62" t="s">
        <v>79</v>
      </c>
      <c r="I17" s="63">
        <v>22.0</v>
      </c>
      <c r="J17" s="64"/>
      <c r="K17" s="65"/>
      <c r="L17" s="65"/>
      <c r="M17" s="66"/>
      <c r="N17" s="71" t="s">
        <v>80</v>
      </c>
      <c r="O17" s="72"/>
      <c r="P17" s="71" t="s">
        <v>81</v>
      </c>
      <c r="Q17" s="71" t="str">
        <f>IF(AND(O17&gt;=150, O17&lt;=250), "Efektif &amp; Efisien (SNI)", "Periksa Desain")</f>
        <v>Periksa Desain</v>
      </c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9" t="s">
        <v>82</v>
      </c>
      <c r="H18" s="77" t="s">
        <v>67</v>
      </c>
      <c r="I18" s="63">
        <v>22.0</v>
      </c>
      <c r="J18" s="64"/>
      <c r="K18" s="65"/>
      <c r="L18" s="65"/>
      <c r="M18" s="66"/>
      <c r="N18" s="12"/>
      <c r="O18" s="12"/>
      <c r="P18" s="12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9" t="s">
        <v>84</v>
      </c>
      <c r="H19" s="77" t="s">
        <v>85</v>
      </c>
      <c r="I19" s="63">
        <v>13.0</v>
      </c>
      <c r="J19" s="64"/>
      <c r="K19" s="65"/>
      <c r="L19" s="65"/>
      <c r="M19" s="66"/>
      <c r="N19" s="80" t="s">
        <v>86</v>
      </c>
      <c r="O19" s="43"/>
      <c r="P19" s="43"/>
      <c r="Q19" s="44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9" t="s">
        <v>87</v>
      </c>
      <c r="H20" s="77" t="s">
        <v>85</v>
      </c>
      <c r="I20" s="63">
        <v>13.0</v>
      </c>
      <c r="J20" s="64"/>
      <c r="K20" s="65"/>
      <c r="L20" s="65"/>
      <c r="M20" s="66"/>
      <c r="N20" s="81" t="s">
        <v>89</v>
      </c>
      <c r="O20" s="83"/>
      <c r="P20" s="83"/>
      <c r="Q20" s="84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9" t="s">
        <v>90</v>
      </c>
      <c r="H21" s="77" t="s">
        <v>91</v>
      </c>
      <c r="I21" s="63">
        <v>10.0</v>
      </c>
      <c r="J21" s="64"/>
      <c r="K21" s="65"/>
      <c r="L21" s="65"/>
      <c r="M21" s="66"/>
      <c r="N21" s="81" t="s">
        <v>92</v>
      </c>
      <c r="O21" s="83"/>
      <c r="P21" s="83"/>
      <c r="Q21" s="84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9" t="s">
        <v>93</v>
      </c>
      <c r="H22" s="77" t="s">
        <v>94</v>
      </c>
      <c r="I22" s="63">
        <v>10.0</v>
      </c>
      <c r="J22" s="64"/>
      <c r="K22" s="65"/>
      <c r="L22" s="65"/>
      <c r="M22" s="66"/>
      <c r="N22" s="81" t="s">
        <v>95</v>
      </c>
      <c r="O22" s="83"/>
      <c r="P22" s="83"/>
      <c r="Q22" s="84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9" t="s">
        <v>96</v>
      </c>
      <c r="H23" s="77" t="s">
        <v>91</v>
      </c>
      <c r="I23" s="63">
        <v>10.0</v>
      </c>
      <c r="J23" s="64"/>
      <c r="K23" s="65"/>
      <c r="L23" s="65"/>
      <c r="M23" s="66"/>
      <c r="N23" s="81" t="s">
        <v>97</v>
      </c>
      <c r="O23" s="83"/>
      <c r="P23" s="83"/>
      <c r="Q23" s="84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87" t="s">
        <v>98</v>
      </c>
      <c r="H24" s="87" t="s">
        <v>99</v>
      </c>
      <c r="I24" s="87" t="s">
        <v>100</v>
      </c>
      <c r="J24" s="89">
        <f>SUM(J15:J23)</f>
        <v>0</v>
      </c>
      <c r="K24" s="87" t="s">
        <v>100</v>
      </c>
      <c r="L24" s="92">
        <f t="shared" ref="L24:M24" si="1">SUM(L15:L23)</f>
        <v>0</v>
      </c>
      <c r="M24" s="92">
        <f t="shared" si="1"/>
        <v>0</v>
      </c>
      <c r="N24" s="95" t="s">
        <v>102</v>
      </c>
      <c r="O24" s="97"/>
      <c r="P24" s="97"/>
      <c r="Q24" s="98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0" t="s">
        <v>103</v>
      </c>
      <c r="H25" s="10" t="s">
        <v>12</v>
      </c>
      <c r="I25" s="10" t="s">
        <v>61</v>
      </c>
      <c r="J25" s="10" t="s">
        <v>62</v>
      </c>
      <c r="K25" s="10" t="s">
        <v>104</v>
      </c>
      <c r="L25" s="10" t="s">
        <v>105</v>
      </c>
      <c r="M25" s="12"/>
      <c r="N25" s="12"/>
      <c r="O25" s="12"/>
      <c r="P25" s="12"/>
      <c r="Q25" s="12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9" t="s">
        <v>17</v>
      </c>
      <c r="H26" s="101"/>
      <c r="I26" s="65"/>
      <c r="J26" s="65"/>
      <c r="K26" s="65"/>
      <c r="L26" s="102"/>
      <c r="M26" s="12"/>
      <c r="N26" s="12"/>
      <c r="O26" s="12"/>
      <c r="P26" s="12"/>
      <c r="Q26" s="12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9" t="s">
        <v>21</v>
      </c>
      <c r="H27" s="101"/>
      <c r="I27" s="65"/>
      <c r="J27" s="65"/>
      <c r="K27" s="65"/>
      <c r="L27" s="102"/>
      <c r="M27" s="12"/>
      <c r="N27" s="12"/>
      <c r="O27" s="12"/>
      <c r="P27" s="12"/>
      <c r="Q27" s="12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9" t="s">
        <v>27</v>
      </c>
      <c r="H28" s="101"/>
      <c r="I28" s="65"/>
      <c r="J28" s="65"/>
      <c r="K28" s="65"/>
      <c r="L28" s="102"/>
      <c r="M28" s="12"/>
      <c r="N28" s="12"/>
      <c r="O28" s="12"/>
      <c r="P28" s="12"/>
      <c r="Q28" s="12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87" t="s">
        <v>106</v>
      </c>
      <c r="H29" s="87" t="s">
        <v>100</v>
      </c>
      <c r="I29" s="92">
        <f t="shared" ref="I29:L29" si="2">SUM(I26:I28)</f>
        <v>0</v>
      </c>
      <c r="J29" s="92">
        <f t="shared" si="2"/>
        <v>0</v>
      </c>
      <c r="K29" s="92">
        <f t="shared" si="2"/>
        <v>0</v>
      </c>
      <c r="L29" s="89">
        <f t="shared" si="2"/>
        <v>0</v>
      </c>
      <c r="M29" s="12"/>
      <c r="N29" s="12"/>
      <c r="O29" s="12"/>
      <c r="P29" s="12"/>
      <c r="Q29" s="12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N23:Q23"/>
    <mergeCell ref="N24:Q24"/>
    <mergeCell ref="G1:Q1"/>
    <mergeCell ref="G13:M13"/>
    <mergeCell ref="N13:Q13"/>
    <mergeCell ref="N19:Q19"/>
    <mergeCell ref="N20:Q20"/>
    <mergeCell ref="N21:Q21"/>
    <mergeCell ref="N22:Q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2026-09-19T14:54:31Z</dcterms:created>
  <dc:creator>ACER</dc:creator>
</cp:coreProperties>
</file>