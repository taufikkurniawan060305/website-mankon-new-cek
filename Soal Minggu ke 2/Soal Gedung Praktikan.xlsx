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ajemen Konstruksi\"/>
    </mc:Choice>
  </mc:AlternateContent>
  <xr:revisionPtr revIDLastSave="0" documentId="13_ncr:1_{89C50F4E-7D43-40E8-AF36-963828A684D0}" xr6:coauthVersionLast="47" xr6:coauthVersionMax="47" xr10:uidLastSave="{00000000-0000-0000-0000-000000000000}"/>
  <bookViews>
    <workbookView xWindow="-108" yWindow="-108" windowWidth="23256" windowHeight="12456" activeTab="2" xr2:uid="{7EA352D2-7D81-4227-967F-FBB1838279CB}"/>
  </bookViews>
  <sheets>
    <sheet name="AHSP GEDUNG" sheetId="2" r:id="rId1"/>
    <sheet name="RESOURCE 1" sheetId="3" r:id="rId2"/>
    <sheet name="RAB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8" i="4" l="1"/>
  <c r="D83" i="4"/>
  <c r="D10" i="4"/>
</calcChain>
</file>

<file path=xl/sharedStrings.xml><?xml version="1.0" encoding="utf-8"?>
<sst xmlns="http://schemas.openxmlformats.org/spreadsheetml/2006/main" count="1206" uniqueCount="230">
  <si>
    <t>Harga Satuan Pekerjaan (D+E)</t>
  </si>
  <si>
    <t>F</t>
  </si>
  <si>
    <t>15% x D</t>
  </si>
  <si>
    <t>Biaya Umum dan Keuntungan 15% x D</t>
  </si>
  <si>
    <t>E</t>
  </si>
  <si>
    <t>Jumlah Harga Tenaga Kerja, Bahan, dan Peralatan (A+B+C)</t>
  </si>
  <si>
    <t>D</t>
  </si>
  <si>
    <t>Jumlah Harga Alat</t>
  </si>
  <si>
    <t>Peralatan</t>
  </si>
  <si>
    <t>C</t>
  </si>
  <si>
    <t>Jumlah Harga Bahan</t>
  </si>
  <si>
    <t>lembar</t>
  </si>
  <si>
    <t>Plafon akustik 30x60 cm</t>
  </si>
  <si>
    <t>Bahan</t>
  </si>
  <si>
    <t>B</t>
  </si>
  <si>
    <t>Jumlah Harga Tenaga Kerja</t>
  </si>
  <si>
    <t>OH</t>
  </si>
  <si>
    <t>L.04</t>
  </si>
  <si>
    <t>Mandor</t>
  </si>
  <si>
    <t>L.03</t>
  </si>
  <si>
    <t>Kepala Tukang</t>
  </si>
  <si>
    <t>L.02</t>
  </si>
  <si>
    <t>Tukang kayu</t>
  </si>
  <si>
    <t>L.01</t>
  </si>
  <si>
    <t>Pekerja</t>
  </si>
  <si>
    <t>Tenaga Kerja</t>
  </si>
  <si>
    <t>A</t>
  </si>
  <si>
    <t>Jumlah Harga (Rp)</t>
  </si>
  <si>
    <t>Harga Satuan (Rp)</t>
  </si>
  <si>
    <t xml:space="preserve">Koefisien </t>
  </si>
  <si>
    <t>Satuan</t>
  </si>
  <si>
    <t>Kode</t>
  </si>
  <si>
    <t>Uraian</t>
  </si>
  <si>
    <t>No</t>
  </si>
  <si>
    <t xml:space="preserve">3.5.1.2 Pemasangan 1 m2 Langit-langit (Plafon) Akustik Ukuran 30 x 60 
cm </t>
  </si>
  <si>
    <t>m3</t>
  </si>
  <si>
    <t>m.52</t>
  </si>
  <si>
    <t>Pasir Pasang</t>
  </si>
  <si>
    <t>kg</t>
  </si>
  <si>
    <t>BAP 39</t>
  </si>
  <si>
    <t>Semen Portland (PC)</t>
  </si>
  <si>
    <t>3.7.3 Pemasangan 1 m2 Plesteran 1SP : 3PP Tebal 15mm</t>
  </si>
  <si>
    <t>Mortar Perekat Bata Ringan</t>
  </si>
  <si>
    <t>buah</t>
  </si>
  <si>
    <t>Bata Ringan Tebal 10 cm</t>
  </si>
  <si>
    <t>Tukang tembok</t>
  </si>
  <si>
    <t>3.6.4.2 Pemasangan 1 m2 Dinding Bata Ringan Tebal 10 cm dengan 
Mortar Siap Pakai</t>
  </si>
  <si>
    <t>liter</t>
  </si>
  <si>
    <t>Minyak Bekisting</t>
  </si>
  <si>
    <t>Paku 2 inch</t>
  </si>
  <si>
    <t>Homogenous tile unpolish 30x30 cm</t>
  </si>
  <si>
    <t>3.9.4.1 Pemasangan 1 m2 Lantai Homogenous Tile Polish Ukuran 30 x 30 cm (1SP : 2PP)</t>
  </si>
  <si>
    <t>hari</t>
  </si>
  <si>
    <t>Molen beton mixer 350 liter</t>
  </si>
  <si>
    <t>Fly Ash</t>
  </si>
  <si>
    <t>Air</t>
  </si>
  <si>
    <t>Kerikil</t>
  </si>
  <si>
    <t>Pasir beton</t>
  </si>
  <si>
    <t>Tukang batu</t>
  </si>
  <si>
    <t>2.2.1.5.10 1 m3 beton mutu sedang f'c 35 MPa, Slump (100 ±  25) mm, 
agregat maks 19 mm secara semi mekanis</t>
  </si>
  <si>
    <t>batang</t>
  </si>
  <si>
    <t>Dolken kayu φ 8-10 panjang 400 cm</t>
  </si>
  <si>
    <t>Plywood 12 mm</t>
  </si>
  <si>
    <t>Kayu balok 6/12 kelas II</t>
  </si>
  <si>
    <t>Paku 5 dan 12 cm</t>
  </si>
  <si>
    <t>2.2.1.1.7 Pemasangan 1 m3 bekisting untuk tangga (3 kali pakai)</t>
  </si>
  <si>
    <t xml:space="preserve">hari </t>
  </si>
  <si>
    <t>Bender baja beton</t>
  </si>
  <si>
    <t>Cutter baja beton</t>
  </si>
  <si>
    <t>Kawat beton</t>
  </si>
  <si>
    <t>Baja Tulangan Polos (BjTP) diameter &gt;12 mm</t>
  </si>
  <si>
    <t>Tukang besi</t>
  </si>
  <si>
    <t xml:space="preserve">2.2.1.1.4 1 kg Penulangan kolom, balok, ring balk, sloof, dan shearwall 
untuk BjTP diameter ≥ 12 mm, cara Semi mekanis (untuk bangunan gedung) </t>
  </si>
  <si>
    <t>2.2.1.3.10 Bongkar 1 m2 bekisting secara hati - hati pada bangunan gedung (untuk beton expose dan/atau pemanfaatan kembali bekisting)</t>
  </si>
  <si>
    <t>2.2.1.3.3 Pemasangan 1 m2 bekisting untuk kolom</t>
  </si>
  <si>
    <t xml:space="preserve">2.2.1.3.5 Pemasangan 1 m2 bekisting untuk plat lantai (3 kali pakai) </t>
  </si>
  <si>
    <t>Kayu balok kelas IIl</t>
  </si>
  <si>
    <t>2.2.1.3.4 Pemasangan 1 m2 bekisting untuk balok (3 kali pakai)</t>
  </si>
  <si>
    <t>Paku 7 - 10 cm</t>
  </si>
  <si>
    <t>Kayu papan kelas III</t>
  </si>
  <si>
    <t>2.2.1.3.2 Pemasangan 1 m2 bekisting untuk sloof (3 kali pakai)</t>
  </si>
  <si>
    <t>Minyak bekisting</t>
  </si>
  <si>
    <t>2.2.1.3.1 Pemasangan 1 m2 bekisting untuk fondasi telapak (3 kali pakai)</t>
  </si>
  <si>
    <t>Stamper Smooth_Drum</t>
  </si>
  <si>
    <t>Koefisien</t>
  </si>
  <si>
    <t>1.3.3.4 1 m3 Pemadatan pasir setebal 20 cm menggunakan mesin Stamper VRR-1,5 Ton semi mekanis</t>
  </si>
  <si>
    <t>1.3.1.1 1 m3 Urukan Kembali Galian Tanah tanpa pemadatan secara manual</t>
  </si>
  <si>
    <t>L. 04</t>
  </si>
  <si>
    <t>L. 01</t>
  </si>
  <si>
    <t>1.2.1.1.5 Penggalian 1 m3 tanah biasa sedalam &gt; 1 s.d. 2 m untuk volume &gt; 200 m3 secara manual</t>
  </si>
  <si>
    <t>waterpass</t>
  </si>
  <si>
    <t>Paku biasa 5 inchi</t>
  </si>
  <si>
    <t>Kayu papan 3/20 cm</t>
  </si>
  <si>
    <t>Kaso 5/7</t>
  </si>
  <si>
    <t xml:space="preserve">OH </t>
  </si>
  <si>
    <t>Tukang Kayu</t>
  </si>
  <si>
    <t>1.1.4.2 Pasangan 1 m’ bouwplank</t>
  </si>
  <si>
    <t xml:space="preserve">liter </t>
  </si>
  <si>
    <t>Residu</t>
  </si>
  <si>
    <t>Pasir Beton</t>
  </si>
  <si>
    <t>Papan Kayu ukuran 2/20 cm</t>
  </si>
  <si>
    <t>Kaso 5/7 kayu kelas II</t>
  </si>
  <si>
    <t>Tukang Batu</t>
  </si>
  <si>
    <t>1.1.1.1 Pembuatan 1 m’ pagar sementara dari kayu tinggi 2 meter</t>
  </si>
  <si>
    <t>1.1.3 Pembersihan dan pengupasan permukaan tanah</t>
  </si>
  <si>
    <t>SOAL GANJIL (GEDUNG)</t>
  </si>
  <si>
    <t>RESOURCE GEDUNG</t>
  </si>
  <si>
    <t>HARGA SATUAN UPAH - MATERIAL - ALAT</t>
  </si>
  <si>
    <t>NO</t>
  </si>
  <si>
    <t>UPAH - MATERIAL - ALAT</t>
  </si>
  <si>
    <t>SATUAN</t>
  </si>
  <si>
    <t>HARGA SATUAN</t>
  </si>
  <si>
    <t>KETERANGAN</t>
  </si>
  <si>
    <t>I.</t>
  </si>
  <si>
    <t>UPAH</t>
  </si>
  <si>
    <t>Kepala tukang</t>
  </si>
  <si>
    <t>II.</t>
  </si>
  <si>
    <t>MATERIAL</t>
  </si>
  <si>
    <t>MATERIAL TANAH DAN BATUAN</t>
  </si>
  <si>
    <t>m.1</t>
  </si>
  <si>
    <t>Agregat kasar</t>
  </si>
  <si>
    <t>m.10</t>
  </si>
  <si>
    <t>Bata ringan tebal 10 cm</t>
  </si>
  <si>
    <t>m.22</t>
  </si>
  <si>
    <t>Batu belah (quarry)</t>
  </si>
  <si>
    <t>m.39</t>
  </si>
  <si>
    <t>Fly ash</t>
  </si>
  <si>
    <t>m.43</t>
  </si>
  <si>
    <t>m.46</t>
  </si>
  <si>
    <t>Pasir pasang</t>
  </si>
  <si>
    <t>MATERIAL KAYU DAN BAMBU</t>
  </si>
  <si>
    <t>KB 11</t>
  </si>
  <si>
    <t>KB 15</t>
  </si>
  <si>
    <t>Untuk Kayu Meranti/Kamper</t>
  </si>
  <si>
    <t>KB 16</t>
  </si>
  <si>
    <t>M3</t>
  </si>
  <si>
    <t>KB 22</t>
  </si>
  <si>
    <t>KB 23</t>
  </si>
  <si>
    <t>Untuk Kayu Bengkirai</t>
  </si>
  <si>
    <t>KB 26</t>
  </si>
  <si>
    <t>Untuk Pagar Sementara</t>
  </si>
  <si>
    <t>KB 28</t>
  </si>
  <si>
    <t>Untuk Bowplank</t>
  </si>
  <si>
    <t>KB 31</t>
  </si>
  <si>
    <t>Untuk Kayu Kruing/Sengon</t>
  </si>
  <si>
    <t>KB 47</t>
  </si>
  <si>
    <t>MATERIAL BESI DAN BAJA</t>
  </si>
  <si>
    <t>BB 38</t>
  </si>
  <si>
    <t>BB 58</t>
  </si>
  <si>
    <t>BB 72</t>
  </si>
  <si>
    <t>BB 74</t>
  </si>
  <si>
    <t>BB 75</t>
  </si>
  <si>
    <t>BB 76</t>
  </si>
  <si>
    <t>Paku 5 dan 7 cm</t>
  </si>
  <si>
    <t>BB 77</t>
  </si>
  <si>
    <t>MATERIAL PENUTUP ATAP</t>
  </si>
  <si>
    <t>PA 112</t>
  </si>
  <si>
    <t>MATERIAL PENUTUP LANTAI DAN DINDING</t>
  </si>
  <si>
    <t>PLD 25</t>
  </si>
  <si>
    <t>G</t>
  </si>
  <si>
    <t>MATERIAL BETON DAN ADUKAN PASANGAN</t>
  </si>
  <si>
    <t>BAP 24</t>
  </si>
  <si>
    <t>Formtie/penjaga jarak bekesting/spacer</t>
  </si>
  <si>
    <t>K</t>
  </si>
  <si>
    <t>MATERIAL SANITAIR</t>
  </si>
  <si>
    <t>Bekisting</t>
  </si>
  <si>
    <t>m2</t>
  </si>
  <si>
    <t>L</t>
  </si>
  <si>
    <t>MATERIAL MINYAK</t>
  </si>
  <si>
    <t>P</t>
  </si>
  <si>
    <t>MATERIAL LAIN-LAIN</t>
  </si>
  <si>
    <t>zak</t>
  </si>
  <si>
    <t>III</t>
  </si>
  <si>
    <t>SEWA PERALATAN</t>
  </si>
  <si>
    <t>Waterpass</t>
  </si>
  <si>
    <t>URAIAN PEKERJAAN</t>
  </si>
  <si>
    <t>VOLUME</t>
  </si>
  <si>
    <t>PEKERJAAN PERSIAPAN</t>
  </si>
  <si>
    <t>Mobilisasi dan Demobilisasi</t>
  </si>
  <si>
    <t>LS</t>
  </si>
  <si>
    <t>Pembersihan Lahan</t>
  </si>
  <si>
    <t>Pagar Proyek</t>
  </si>
  <si>
    <t>m'</t>
  </si>
  <si>
    <t>Pengadaan Sumber daya air</t>
  </si>
  <si>
    <t>Pengadaan Tenaga Listrik</t>
  </si>
  <si>
    <t>Pekerjaan Bouwplank</t>
  </si>
  <si>
    <t>K3</t>
  </si>
  <si>
    <t>JUMLAH PEKERJAAN PERSIAPAN</t>
  </si>
  <si>
    <t>PEKERJAAN STRUKTUR</t>
  </si>
  <si>
    <t>PEKERJAAN GALIAN TANAH</t>
  </si>
  <si>
    <t>Galian Tanah Foot Plate (FP)</t>
  </si>
  <si>
    <t>Urugan Kembali</t>
  </si>
  <si>
    <t>Urugan Pasir Bawah Foot plat</t>
  </si>
  <si>
    <t>PEKERJAAN STRUKTUR PONDASI</t>
  </si>
  <si>
    <t>Penulangan Footplate</t>
  </si>
  <si>
    <t>Pemasangan Bekisting</t>
  </si>
  <si>
    <t>Pengecoran beton fc 35'</t>
  </si>
  <si>
    <t>Pembongkaran bekisting</t>
  </si>
  <si>
    <t>PEKERJAAN STRUKTUR BETON</t>
  </si>
  <si>
    <t>Lantai 1</t>
  </si>
  <si>
    <t>Tie Beam</t>
  </si>
  <si>
    <t>Pemasangan Bekisting Tie Beam</t>
  </si>
  <si>
    <t>Penulangan</t>
  </si>
  <si>
    <t>Pembongkaran Bekisting</t>
  </si>
  <si>
    <t>Plat Lantai</t>
  </si>
  <si>
    <t>Pemasangan Bekisting Plat Lantai</t>
  </si>
  <si>
    <t>Balok</t>
  </si>
  <si>
    <t>Pemasangan Bekisting Balok</t>
  </si>
  <si>
    <t>Kolom</t>
  </si>
  <si>
    <t>Pemasangan Bekisting Kolom</t>
  </si>
  <si>
    <t>Lantai 2</t>
  </si>
  <si>
    <t>Lantai RoofTop</t>
  </si>
  <si>
    <t>Dak Beton</t>
  </si>
  <si>
    <t>Pemasangan Bekisting Dak Beton</t>
  </si>
  <si>
    <t>PEKERJAAN TANGGA</t>
  </si>
  <si>
    <t>Tangga Tipe 1</t>
  </si>
  <si>
    <t>Pemasangan Bekisting Tangga T1</t>
  </si>
  <si>
    <t>Tangga Tipe 2</t>
  </si>
  <si>
    <t>Pemasangan Bekisting Tangga T2</t>
  </si>
  <si>
    <t>JUMLAH PEKERJAAN STRUKTUR</t>
  </si>
  <si>
    <t>PEKERJAAN ARSITEKTUR</t>
  </si>
  <si>
    <t>Pekerjaan lantai Homogeneus</t>
  </si>
  <si>
    <t>Pekerjaan Dinding  bata ringan tebal 10 cm</t>
  </si>
  <si>
    <t>Pekerjaan plester acian dinding</t>
  </si>
  <si>
    <t>Pekerjaan Plafond</t>
  </si>
  <si>
    <t>JUMLAH RAB</t>
  </si>
  <si>
    <t>PEMBANGUNAN GEDUNG</t>
  </si>
  <si>
    <t>Durasi (week)</t>
  </si>
  <si>
    <t>HARGA SATUAN (Rp)</t>
  </si>
  <si>
    <t>JUMLAH 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</si>
</sst>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p&quot;#,##0.00"/>
    <numFmt numFmtId="165" formatCode="0.000"/>
    <numFmt numFmtId="166" formatCode="0.0000"/>
    <numFmt numFmtId="167" formatCode="0.0"/>
    <numFmt numFmtId="168" formatCode="0.00000"/>
    <numFmt numFmtId="169" formatCode="[$Rp]#,##0.00"/>
  </numFmts>
  <fonts count="2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theme="1"/>
      <name val="Arial"/>
    </font>
    <font>
      <sz val="12"/>
      <color theme="1"/>
      <name val="Times New Roman"/>
    </font>
    <font>
      <sz val="10"/>
      <name val="Arial"/>
    </font>
    <font>
      <b/>
      <sz val="12"/>
      <color theme="1"/>
      <name val="Times New Roman"/>
    </font>
    <font>
      <sz val="12"/>
      <color rgb="FF000000"/>
      <name val="Times New Roman"/>
    </font>
    <font>
      <sz val="10"/>
      <color theme="1"/>
      <name val="Roboto"/>
    </font>
    <font>
      <b/>
      <sz val="12"/>
      <color theme="1"/>
      <name val="Arial"/>
    </font>
    <font>
      <i/>
      <sz val="12"/>
      <color theme="1"/>
      <name val="Times New Roman"/>
    </font>
    <font>
      <b/>
      <sz val="25"/>
      <color theme="1"/>
      <name val="Times New Roman"/>
    </font>
    <font>
      <b/>
      <sz val="14"/>
      <color rgb="FF000000"/>
      <name val="Roboto"/>
    </font>
    <font>
      <b/>
      <sz val="10"/>
      <color rgb="FF000000"/>
      <name val="Roboto"/>
    </font>
    <font>
      <sz val="10"/>
      <color rgb="FF000000"/>
      <name val="Roboto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Roboto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4">
    <xf numFmtId="0" fontId="0" fillId="0" borderId="0" xfId="0"/>
    <xf numFmtId="0" fontId="1" fillId="0" borderId="0" xfId="1"/>
    <xf numFmtId="0" fontId="2" fillId="0" borderId="0" xfId="1" applyFont="1"/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165" fontId="3" fillId="0" borderId="1" xfId="1" applyNumberFormat="1" applyFont="1" applyBorder="1" applyAlignment="1">
      <alignment horizontal="center"/>
    </xf>
    <xf numFmtId="0" fontId="3" fillId="0" borderId="2" xfId="1" applyFont="1" applyBorder="1"/>
    <xf numFmtId="0" fontId="3" fillId="0" borderId="3" xfId="1" applyFont="1" applyBorder="1"/>
    <xf numFmtId="0" fontId="3" fillId="0" borderId="4" xfId="1" applyFont="1" applyBorder="1" applyAlignment="1">
      <alignment horizontal="right"/>
    </xf>
    <xf numFmtId="164" fontId="3" fillId="0" borderId="5" xfId="1" applyNumberFormat="1" applyFont="1" applyBorder="1" applyAlignment="1">
      <alignment horizontal="center"/>
    </xf>
    <xf numFmtId="2" fontId="3" fillId="0" borderId="5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3" fillId="2" borderId="6" xfId="1" applyFont="1" applyFill="1" applyBorder="1"/>
    <xf numFmtId="0" fontId="3" fillId="0" borderId="5" xfId="1" applyFont="1" applyBorder="1"/>
    <xf numFmtId="165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/>
    </xf>
    <xf numFmtId="165" fontId="3" fillId="0" borderId="5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 wrapText="1"/>
    </xf>
    <xf numFmtId="164" fontId="3" fillId="0" borderId="5" xfId="1" applyNumberFormat="1" applyFont="1" applyBorder="1" applyAlignment="1">
      <alignment vertical="center"/>
    </xf>
    <xf numFmtId="165" fontId="3" fillId="0" borderId="5" xfId="1" applyNumberFormat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6" fillId="0" borderId="0" xfId="1" applyFont="1"/>
    <xf numFmtId="0" fontId="3" fillId="2" borderId="7" xfId="1" applyFont="1" applyFill="1" applyBorder="1"/>
    <xf numFmtId="1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/>
    <xf numFmtId="0" fontId="6" fillId="2" borderId="7" xfId="1" applyFont="1" applyFill="1" applyBorder="1"/>
    <xf numFmtId="167" fontId="3" fillId="0" borderId="1" xfId="1" applyNumberFormat="1" applyFont="1" applyBorder="1" applyAlignment="1">
      <alignment horizontal="center"/>
    </xf>
    <xf numFmtId="168" fontId="3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169" fontId="3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7" fillId="2" borderId="7" xfId="1" applyFont="1" applyFill="1" applyBorder="1"/>
    <xf numFmtId="0" fontId="9" fillId="0" borderId="1" xfId="1" applyFont="1" applyBorder="1" applyAlignment="1">
      <alignment horizontal="left"/>
    </xf>
    <xf numFmtId="0" fontId="2" fillId="0" borderId="0" xfId="1" applyFont="1" applyAlignment="1">
      <alignment vertical="center"/>
    </xf>
    <xf numFmtId="0" fontId="12" fillId="5" borderId="14" xfId="1" applyFont="1" applyFill="1" applyBorder="1" applyAlignment="1">
      <alignment horizontal="center"/>
    </xf>
    <xf numFmtId="0" fontId="12" fillId="5" borderId="8" xfId="1" applyFont="1" applyFill="1" applyBorder="1" applyAlignment="1">
      <alignment horizontal="center"/>
    </xf>
    <xf numFmtId="0" fontId="13" fillId="4" borderId="14" xfId="1" applyFont="1" applyFill="1" applyBorder="1" applyAlignment="1">
      <alignment horizontal="center"/>
    </xf>
    <xf numFmtId="0" fontId="14" fillId="4" borderId="8" xfId="1" applyFont="1" applyFill="1" applyBorder="1"/>
    <xf numFmtId="0" fontId="13" fillId="4" borderId="8" xfId="1" applyFont="1" applyFill="1" applyBorder="1" applyAlignment="1">
      <alignment horizontal="center"/>
    </xf>
    <xf numFmtId="0" fontId="14" fillId="5" borderId="9" xfId="1" applyFont="1" applyFill="1" applyBorder="1"/>
    <xf numFmtId="0" fontId="14" fillId="5" borderId="8" xfId="1" applyFont="1" applyFill="1" applyBorder="1"/>
    <xf numFmtId="0" fontId="13" fillId="4" borderId="15" xfId="1" applyFont="1" applyFill="1" applyBorder="1" applyAlignment="1">
      <alignment horizontal="center"/>
    </xf>
    <xf numFmtId="0" fontId="13" fillId="4" borderId="7" xfId="1" applyFont="1" applyFill="1" applyBorder="1"/>
    <xf numFmtId="0" fontId="13" fillId="2" borderId="7" xfId="1" applyFont="1" applyFill="1" applyBorder="1"/>
    <xf numFmtId="0" fontId="13" fillId="4" borderId="7" xfId="1" applyFont="1" applyFill="1" applyBorder="1" applyAlignment="1">
      <alignment horizontal="center"/>
    </xf>
    <xf numFmtId="164" fontId="13" fillId="4" borderId="7" xfId="1" applyNumberFormat="1" applyFont="1" applyFill="1" applyBorder="1" applyAlignment="1">
      <alignment horizontal="right"/>
    </xf>
    <xf numFmtId="0" fontId="14" fillId="4" borderId="7" xfId="1" applyFont="1" applyFill="1" applyBorder="1"/>
    <xf numFmtId="0" fontId="12" fillId="4" borderId="14" xfId="1" applyFont="1" applyFill="1" applyBorder="1" applyAlignment="1">
      <alignment horizontal="center"/>
    </xf>
    <xf numFmtId="0" fontId="14" fillId="4" borderId="6" xfId="1" applyFont="1" applyFill="1" applyBorder="1"/>
    <xf numFmtId="0" fontId="13" fillId="2" borderId="6" xfId="1" applyFont="1" applyFill="1" applyBorder="1"/>
    <xf numFmtId="0" fontId="13" fillId="4" borderId="6" xfId="1" applyFont="1" applyFill="1" applyBorder="1" applyAlignment="1">
      <alignment horizontal="center"/>
    </xf>
    <xf numFmtId="164" fontId="13" fillId="4" borderId="6" xfId="1" applyNumberFormat="1" applyFont="1" applyFill="1" applyBorder="1" applyAlignment="1">
      <alignment horizontal="right"/>
    </xf>
    <xf numFmtId="0" fontId="7" fillId="4" borderId="15" xfId="1" applyFont="1" applyFill="1" applyBorder="1" applyAlignment="1">
      <alignment horizontal="center"/>
    </xf>
    <xf numFmtId="0" fontId="15" fillId="4" borderId="6" xfId="1" applyFont="1" applyFill="1" applyBorder="1"/>
    <xf numFmtId="0" fontId="7" fillId="4" borderId="7" xfId="1" applyFont="1" applyFill="1" applyBorder="1" applyAlignment="1">
      <alignment horizontal="center"/>
    </xf>
    <xf numFmtId="164" fontId="7" fillId="4" borderId="7" xfId="1" applyNumberFormat="1" applyFont="1" applyFill="1" applyBorder="1" applyAlignment="1">
      <alignment horizontal="right"/>
    </xf>
    <xf numFmtId="0" fontId="15" fillId="4" borderId="7" xfId="1" applyFont="1" applyFill="1" applyBorder="1"/>
    <xf numFmtId="0" fontId="7" fillId="2" borderId="6" xfId="1" applyFont="1" applyFill="1" applyBorder="1"/>
    <xf numFmtId="0" fontId="7" fillId="4" borderId="6" xfId="1" applyFont="1" applyFill="1" applyBorder="1" applyAlignment="1">
      <alignment horizontal="center"/>
    </xf>
    <xf numFmtId="164" fontId="7" fillId="4" borderId="6" xfId="1" applyNumberFormat="1" applyFont="1" applyFill="1" applyBorder="1" applyAlignment="1">
      <alignment horizontal="right"/>
    </xf>
    <xf numFmtId="0" fontId="16" fillId="4" borderId="1" xfId="1" applyFont="1" applyFill="1" applyBorder="1" applyAlignment="1">
      <alignment horizontal="center"/>
    </xf>
    <xf numFmtId="0" fontId="7" fillId="4" borderId="16" xfId="1" applyFont="1" applyFill="1" applyBorder="1" applyAlignment="1">
      <alignment horizontal="center"/>
    </xf>
    <xf numFmtId="0" fontId="13" fillId="4" borderId="16" xfId="1" applyFont="1" applyFill="1" applyBorder="1" applyAlignment="1">
      <alignment horizontal="center"/>
    </xf>
    <xf numFmtId="0" fontId="14" fillId="4" borderId="0" xfId="1" applyFont="1" applyFill="1"/>
    <xf numFmtId="0" fontId="13" fillId="2" borderId="0" xfId="1" applyFont="1" applyFill="1"/>
    <xf numFmtId="0" fontId="13" fillId="4" borderId="0" xfId="1" applyFont="1" applyFill="1" applyAlignment="1">
      <alignment horizontal="center"/>
    </xf>
    <xf numFmtId="164" fontId="13" fillId="4" borderId="0" xfId="1" applyNumberFormat="1" applyFont="1" applyFill="1" applyAlignment="1">
      <alignment horizontal="right"/>
    </xf>
    <xf numFmtId="0" fontId="13" fillId="4" borderId="0" xfId="1" applyFont="1" applyFill="1"/>
    <xf numFmtId="0" fontId="7" fillId="4" borderId="7" xfId="1" applyFont="1" applyFill="1" applyBorder="1"/>
    <xf numFmtId="0" fontId="13" fillId="4" borderId="0" xfId="1" applyFont="1" applyFill="1" applyAlignment="1">
      <alignment horizontal="right"/>
    </xf>
    <xf numFmtId="0" fontId="15" fillId="2" borderId="6" xfId="1" applyFont="1" applyFill="1" applyBorder="1"/>
    <xf numFmtId="0" fontId="15" fillId="2" borderId="7" xfId="1" applyFont="1" applyFill="1" applyBorder="1"/>
    <xf numFmtId="0" fontId="14" fillId="2" borderId="7" xfId="1" applyFont="1" applyFill="1" applyBorder="1"/>
    <xf numFmtId="0" fontId="16" fillId="5" borderId="14" xfId="1" applyFont="1" applyFill="1" applyBorder="1" applyAlignment="1">
      <alignment horizontal="center"/>
    </xf>
    <xf numFmtId="0" fontId="15" fillId="5" borderId="8" xfId="1" applyFont="1" applyFill="1" applyBorder="1"/>
    <xf numFmtId="0" fontId="4" fillId="0" borderId="3" xfId="1" applyFont="1" applyBorder="1"/>
    <xf numFmtId="0" fontId="4" fillId="0" borderId="12" xfId="1" applyFont="1" applyBorder="1"/>
    <xf numFmtId="0" fontId="1" fillId="0" borderId="0" xfId="1"/>
    <xf numFmtId="0" fontId="10" fillId="0" borderId="0" xfId="1" applyFont="1" applyAlignment="1">
      <alignment horizontal="center" vertical="center"/>
    </xf>
    <xf numFmtId="0" fontId="5" fillId="3" borderId="4" xfId="1" applyFont="1" applyFill="1" applyBorder="1" applyAlignment="1">
      <alignment horizontal="center"/>
    </xf>
    <xf numFmtId="0" fontId="4" fillId="0" borderId="2" xfId="1" applyFont="1" applyBorder="1"/>
    <xf numFmtId="0" fontId="3" fillId="0" borderId="4" xfId="1" applyFont="1" applyBorder="1" applyAlignment="1">
      <alignment horizontal="center"/>
    </xf>
    <xf numFmtId="0" fontId="3" fillId="0" borderId="4" xfId="1" applyFont="1" applyBorder="1" applyAlignment="1">
      <alignment horizontal="left"/>
    </xf>
    <xf numFmtId="0" fontId="5" fillId="3" borderId="4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8" fillId="3" borderId="12" xfId="1" applyFont="1" applyFill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8" fillId="3" borderId="4" xfId="1" applyFont="1" applyFill="1" applyBorder="1" applyAlignment="1">
      <alignment horizontal="center"/>
    </xf>
    <xf numFmtId="0" fontId="2" fillId="0" borderId="4" xfId="1" applyFont="1" applyBorder="1" applyAlignment="1">
      <alignment horizontal="left"/>
    </xf>
    <xf numFmtId="0" fontId="5" fillId="3" borderId="13" xfId="1" applyFont="1" applyFill="1" applyBorder="1" applyAlignment="1">
      <alignment horizontal="center" wrapText="1"/>
    </xf>
    <xf numFmtId="0" fontId="4" fillId="0" borderId="11" xfId="1" applyFont="1" applyBorder="1"/>
    <xf numFmtId="0" fontId="4" fillId="0" borderId="10" xfId="1" applyFont="1" applyBorder="1"/>
    <xf numFmtId="0" fontId="4" fillId="0" borderId="9" xfId="1" applyFont="1" applyBorder="1"/>
    <xf numFmtId="0" fontId="4" fillId="0" borderId="8" xfId="1" applyFont="1" applyBorder="1"/>
    <xf numFmtId="0" fontId="5" fillId="3" borderId="13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wrapText="1"/>
    </xf>
    <xf numFmtId="0" fontId="4" fillId="0" borderId="11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4" fillId="0" borderId="8" xfId="1" applyFont="1" applyBorder="1" applyAlignment="1">
      <alignment wrapText="1"/>
    </xf>
    <xf numFmtId="0" fontId="16" fillId="2" borderId="4" xfId="1" applyFont="1" applyFill="1" applyBorder="1"/>
    <xf numFmtId="0" fontId="16" fillId="5" borderId="3" xfId="1" applyFont="1" applyFill="1" applyBorder="1"/>
    <xf numFmtId="0" fontId="16" fillId="4" borderId="4" xfId="1" applyFont="1" applyFill="1" applyBorder="1"/>
    <xf numFmtId="0" fontId="10" fillId="0" borderId="0" xfId="1" applyFont="1" applyAlignment="1">
      <alignment horizontal="center"/>
    </xf>
    <xf numFmtId="0" fontId="11" fillId="4" borderId="0" xfId="1" applyFont="1" applyFill="1" applyAlignment="1">
      <alignment horizontal="center"/>
    </xf>
    <xf numFmtId="0" fontId="4" fillId="0" borderId="0" xfId="1" applyFont="1"/>
    <xf numFmtId="0" fontId="12" fillId="5" borderId="3" xfId="1" applyFont="1" applyFill="1" applyBorder="1"/>
    <xf numFmtId="0" fontId="12" fillId="4" borderId="3" xfId="1" applyFont="1" applyFill="1" applyBorder="1"/>
    <xf numFmtId="0" fontId="17" fillId="0" borderId="0" xfId="1" applyFont="1"/>
    <xf numFmtId="2" fontId="18" fillId="0" borderId="0" xfId="1" applyNumberFormat="1" applyFont="1"/>
    <xf numFmtId="0" fontId="17" fillId="0" borderId="0" xfId="1" applyFont="1" applyAlignment="1">
      <alignment horizontal="center"/>
    </xf>
    <xf numFmtId="164" fontId="18" fillId="0" borderId="0" xfId="1" applyNumberFormat="1" applyFont="1"/>
    <xf numFmtId="0" fontId="18" fillId="4" borderId="0" xfId="1" applyFont="1" applyFill="1"/>
    <xf numFmtId="0" fontId="19" fillId="0" borderId="0" xfId="1" applyFont="1" applyAlignment="1">
      <alignment vertical="center"/>
    </xf>
    <xf numFmtId="0" fontId="17" fillId="0" borderId="0" xfId="1" applyFont="1"/>
    <xf numFmtId="164" fontId="18" fillId="0" borderId="0" xfId="1" applyNumberFormat="1" applyFont="1" applyBorder="1"/>
    <xf numFmtId="0" fontId="19" fillId="0" borderId="17" xfId="1" applyFont="1" applyBorder="1"/>
    <xf numFmtId="0" fontId="20" fillId="0" borderId="17" xfId="1" applyFont="1" applyBorder="1"/>
    <xf numFmtId="0" fontId="18" fillId="0" borderId="17" xfId="1" applyFont="1" applyBorder="1"/>
    <xf numFmtId="2" fontId="18" fillId="0" borderId="17" xfId="1" applyNumberFormat="1" applyFont="1" applyBorder="1"/>
    <xf numFmtId="0" fontId="18" fillId="0" borderId="17" xfId="1" applyFont="1" applyBorder="1" applyAlignment="1">
      <alignment horizontal="center"/>
    </xf>
    <xf numFmtId="164" fontId="18" fillId="0" borderId="17" xfId="1" applyNumberFormat="1" applyFont="1" applyBorder="1"/>
    <xf numFmtId="164" fontId="19" fillId="0" borderId="17" xfId="1" applyNumberFormat="1" applyFont="1" applyBorder="1"/>
    <xf numFmtId="0" fontId="17" fillId="0" borderId="17" xfId="1" applyFont="1" applyBorder="1" applyAlignment="1">
      <alignment horizontal="center"/>
    </xf>
    <xf numFmtId="0" fontId="18" fillId="4" borderId="17" xfId="1" applyFont="1" applyFill="1" applyBorder="1"/>
    <xf numFmtId="0" fontId="18" fillId="4" borderId="17" xfId="1" applyFont="1" applyFill="1" applyBorder="1" applyAlignment="1">
      <alignment horizontal="center"/>
    </xf>
    <xf numFmtId="0" fontId="19" fillId="4" borderId="17" xfId="1" applyFont="1" applyFill="1" applyBorder="1"/>
    <xf numFmtId="0" fontId="19" fillId="6" borderId="17" xfId="1" applyFont="1" applyFill="1" applyBorder="1" applyAlignment="1">
      <alignment vertical="center"/>
    </xf>
    <xf numFmtId="2" fontId="19" fillId="6" borderId="17" xfId="1" applyNumberFormat="1" applyFont="1" applyFill="1" applyBorder="1" applyAlignment="1">
      <alignment horizontal="center" vertical="center"/>
    </xf>
    <xf numFmtId="0" fontId="19" fillId="6" borderId="17" xfId="1" applyFont="1" applyFill="1" applyBorder="1" applyAlignment="1">
      <alignment horizontal="center" vertical="center"/>
    </xf>
    <xf numFmtId="0" fontId="19" fillId="6" borderId="17" xfId="1" applyFont="1" applyFill="1" applyBorder="1" applyAlignment="1">
      <alignment horizontal="center" vertical="center" wrapText="1"/>
    </xf>
    <xf numFmtId="0" fontId="19" fillId="6" borderId="17" xfId="1" applyFont="1" applyFill="1" applyBorder="1"/>
    <xf numFmtId="0" fontId="20" fillId="6" borderId="17" xfId="1" applyFont="1" applyFill="1" applyBorder="1"/>
    <xf numFmtId="0" fontId="19" fillId="6" borderId="17" xfId="1" applyFont="1" applyFill="1" applyBorder="1"/>
    <xf numFmtId="0" fontId="18" fillId="6" borderId="17" xfId="1" applyFont="1" applyFill="1" applyBorder="1"/>
    <xf numFmtId="2" fontId="18" fillId="6" borderId="17" xfId="1" applyNumberFormat="1" applyFont="1" applyFill="1" applyBorder="1"/>
    <xf numFmtId="0" fontId="18" fillId="6" borderId="17" xfId="1" applyFont="1" applyFill="1" applyBorder="1" applyAlignment="1">
      <alignment horizontal="center"/>
    </xf>
    <xf numFmtId="0" fontId="17" fillId="6" borderId="17" xfId="1" applyFont="1" applyFill="1" applyBorder="1"/>
    <xf numFmtId="0" fontId="17" fillId="6" borderId="17" xfId="1" applyFont="1" applyFill="1" applyBorder="1" applyAlignment="1">
      <alignment horizontal="center"/>
    </xf>
    <xf numFmtId="0" fontId="19" fillId="7" borderId="17" xfId="1" applyFont="1" applyFill="1" applyBorder="1"/>
    <xf numFmtId="0" fontId="18" fillId="7" borderId="17" xfId="1" applyFont="1" applyFill="1" applyBorder="1"/>
    <xf numFmtId="0" fontId="18" fillId="7" borderId="17" xfId="1" applyFont="1" applyFill="1" applyBorder="1" applyAlignment="1">
      <alignment horizontal="center"/>
    </xf>
    <xf numFmtId="0" fontId="19" fillId="7" borderId="17" xfId="1" applyFont="1" applyFill="1" applyBorder="1" applyAlignment="1">
      <alignment horizontal="left"/>
    </xf>
    <xf numFmtId="0" fontId="19" fillId="6" borderId="17" xfId="1" applyFont="1" applyFill="1" applyBorder="1" applyAlignment="1">
      <alignment horizontal="center"/>
    </xf>
    <xf numFmtId="164" fontId="19" fillId="6" borderId="17" xfId="1" applyNumberFormat="1" applyFont="1" applyFill="1" applyBorder="1"/>
    <xf numFmtId="0" fontId="21" fillId="6" borderId="17" xfId="1" applyFont="1" applyFill="1" applyBorder="1" applyAlignment="1">
      <alignment horizontal="center"/>
    </xf>
    <xf numFmtId="0" fontId="21" fillId="6" borderId="1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A92A931-1F93-4C01-AACE-5A525BEE04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181E-3DA5-4B8F-A303-9458A8BF051A}">
  <sheetPr>
    <outlinePr summaryBelow="0" summaryRight="0"/>
    <pageSetUpPr fitToPage="1"/>
  </sheetPr>
  <dimension ref="A1:Z1000"/>
  <sheetViews>
    <sheetView zoomScale="74" workbookViewId="0">
      <selection activeCell="I20" sqref="I20"/>
    </sheetView>
  </sheetViews>
  <sheetFormatPr defaultColWidth="12.6640625" defaultRowHeight="15" customHeight="1" x14ac:dyDescent="0.3"/>
  <cols>
    <col min="1" max="1" width="12.6640625" style="1"/>
    <col min="2" max="2" width="3.6640625" style="1" bestFit="1" customWidth="1"/>
    <col min="3" max="3" width="61.33203125" style="1" bestFit="1" customWidth="1"/>
    <col min="4" max="4" width="6.109375" style="1" bestFit="1" customWidth="1"/>
    <col min="5" max="5" width="7.88671875" style="1" bestFit="1" customWidth="1"/>
    <col min="6" max="6" width="10.109375" style="1" bestFit="1" customWidth="1"/>
    <col min="7" max="7" width="19.6640625" style="1" bestFit="1" customWidth="1"/>
    <col min="8" max="8" width="19.77734375" style="1" bestFit="1" customWidth="1"/>
    <col min="9" max="16384" width="12.6640625" style="1"/>
  </cols>
  <sheetData>
    <row r="1" spans="1:26" ht="15.6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2" x14ac:dyDescent="0.3">
      <c r="A2" s="2"/>
      <c r="B2" s="84" t="s">
        <v>105</v>
      </c>
      <c r="C2" s="83"/>
      <c r="D2" s="83"/>
      <c r="E2" s="83"/>
      <c r="F2" s="83"/>
      <c r="G2" s="83"/>
      <c r="H2" s="8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x14ac:dyDescent="0.3">
      <c r="A3" s="2"/>
      <c r="B3" s="85" t="s">
        <v>104</v>
      </c>
      <c r="C3" s="81"/>
      <c r="D3" s="81"/>
      <c r="E3" s="81"/>
      <c r="F3" s="81"/>
      <c r="G3" s="81"/>
      <c r="H3" s="8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2"/>
      <c r="B4" s="4" t="s">
        <v>33</v>
      </c>
      <c r="C4" s="4" t="s">
        <v>32</v>
      </c>
      <c r="D4" s="4" t="s">
        <v>31</v>
      </c>
      <c r="E4" s="4" t="s">
        <v>30</v>
      </c>
      <c r="F4" s="4" t="s">
        <v>84</v>
      </c>
      <c r="G4" s="4" t="s">
        <v>28</v>
      </c>
      <c r="H4" s="4" t="s">
        <v>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2"/>
      <c r="B5" s="4" t="s">
        <v>26</v>
      </c>
      <c r="C5" s="6" t="s">
        <v>25</v>
      </c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2"/>
      <c r="B6" s="4"/>
      <c r="C6" s="6" t="s">
        <v>24</v>
      </c>
      <c r="D6" s="4" t="s">
        <v>88</v>
      </c>
      <c r="E6" s="4" t="s">
        <v>16</v>
      </c>
      <c r="F6" s="4">
        <v>0.1</v>
      </c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2"/>
      <c r="B7" s="4"/>
      <c r="C7" s="6" t="s">
        <v>18</v>
      </c>
      <c r="D7" s="4" t="s">
        <v>87</v>
      </c>
      <c r="E7" s="4" t="s">
        <v>16</v>
      </c>
      <c r="F7" s="4">
        <v>5.0000000000000001E-3</v>
      </c>
      <c r="G7" s="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2"/>
      <c r="B8" s="87" t="s">
        <v>15</v>
      </c>
      <c r="C8" s="81"/>
      <c r="D8" s="81"/>
      <c r="E8" s="81"/>
      <c r="F8" s="81"/>
      <c r="G8" s="86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2"/>
      <c r="B9" s="4" t="s">
        <v>14</v>
      </c>
      <c r="C9" s="6" t="s">
        <v>13</v>
      </c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2"/>
      <c r="B10" s="4"/>
      <c r="C10" s="87" t="s">
        <v>10</v>
      </c>
      <c r="D10" s="81"/>
      <c r="E10" s="81"/>
      <c r="F10" s="81"/>
      <c r="G10" s="86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2"/>
      <c r="B11" s="4" t="s">
        <v>9</v>
      </c>
      <c r="C11" s="6" t="s">
        <v>8</v>
      </c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2"/>
      <c r="B12" s="4"/>
      <c r="C12" s="87" t="s">
        <v>7</v>
      </c>
      <c r="D12" s="81"/>
      <c r="E12" s="81"/>
      <c r="F12" s="81"/>
      <c r="G12" s="86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2"/>
      <c r="B13" s="4" t="s">
        <v>6</v>
      </c>
      <c r="C13" s="6" t="s">
        <v>5</v>
      </c>
      <c r="D13" s="4"/>
      <c r="E13" s="4"/>
      <c r="F13" s="4"/>
      <c r="G13" s="4"/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 x14ac:dyDescent="0.3">
      <c r="A14" s="2"/>
      <c r="B14" s="4" t="s">
        <v>4</v>
      </c>
      <c r="C14" s="6" t="s">
        <v>3</v>
      </c>
      <c r="D14" s="4"/>
      <c r="E14" s="4"/>
      <c r="F14" s="4"/>
      <c r="G14" s="4" t="s">
        <v>2</v>
      </c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2"/>
      <c r="B15" s="4" t="s">
        <v>1</v>
      </c>
      <c r="C15" s="6" t="s">
        <v>0</v>
      </c>
      <c r="D15" s="4"/>
      <c r="E15" s="4"/>
      <c r="F15" s="4"/>
      <c r="G15" s="4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2"/>
      <c r="B16" s="89" t="s">
        <v>103</v>
      </c>
      <c r="C16" s="81"/>
      <c r="D16" s="81"/>
      <c r="E16" s="81"/>
      <c r="F16" s="81"/>
      <c r="G16" s="81"/>
      <c r="H16" s="8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2"/>
      <c r="B17" s="4" t="s">
        <v>33</v>
      </c>
      <c r="C17" s="4" t="s">
        <v>32</v>
      </c>
      <c r="D17" s="4" t="s">
        <v>31</v>
      </c>
      <c r="E17" s="4" t="s">
        <v>30</v>
      </c>
      <c r="F17" s="4" t="s">
        <v>84</v>
      </c>
      <c r="G17" s="4" t="s">
        <v>28</v>
      </c>
      <c r="H17" s="4" t="s">
        <v>27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 x14ac:dyDescent="0.3">
      <c r="A18" s="2"/>
      <c r="B18" s="4" t="s">
        <v>26</v>
      </c>
      <c r="C18" s="6" t="s">
        <v>25</v>
      </c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2"/>
      <c r="B19" s="4"/>
      <c r="C19" s="6" t="s">
        <v>24</v>
      </c>
      <c r="D19" s="4" t="s">
        <v>23</v>
      </c>
      <c r="E19" s="4" t="s">
        <v>16</v>
      </c>
      <c r="F19" s="4">
        <v>0.6</v>
      </c>
      <c r="G19" s="5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2"/>
      <c r="B20" s="4"/>
      <c r="C20" s="6" t="s">
        <v>95</v>
      </c>
      <c r="D20" s="4" t="s">
        <v>21</v>
      </c>
      <c r="E20" s="4" t="s">
        <v>16</v>
      </c>
      <c r="F20" s="4">
        <v>0.2</v>
      </c>
      <c r="G20" s="5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3">
      <c r="A21" s="2"/>
      <c r="B21" s="4"/>
      <c r="C21" s="6" t="s">
        <v>102</v>
      </c>
      <c r="D21" s="4" t="s">
        <v>21</v>
      </c>
      <c r="E21" s="4" t="s">
        <v>16</v>
      </c>
      <c r="F21" s="4">
        <v>0.2</v>
      </c>
      <c r="G21" s="5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2"/>
      <c r="B22" s="4"/>
      <c r="C22" s="6" t="s">
        <v>20</v>
      </c>
      <c r="D22" s="4" t="s">
        <v>19</v>
      </c>
      <c r="E22" s="4" t="s">
        <v>16</v>
      </c>
      <c r="F22" s="4">
        <v>0.04</v>
      </c>
      <c r="G22" s="5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 x14ac:dyDescent="0.3">
      <c r="A23" s="2"/>
      <c r="B23" s="4"/>
      <c r="C23" s="6" t="s">
        <v>18</v>
      </c>
      <c r="D23" s="4" t="s">
        <v>17</v>
      </c>
      <c r="E23" s="4" t="s">
        <v>16</v>
      </c>
      <c r="F23" s="4">
        <v>1.2999999999999999E-2</v>
      </c>
      <c r="G23" s="5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 x14ac:dyDescent="0.3">
      <c r="A24" s="2"/>
      <c r="B24" s="4"/>
      <c r="C24" s="87" t="s">
        <v>15</v>
      </c>
      <c r="D24" s="81"/>
      <c r="E24" s="81"/>
      <c r="F24" s="81"/>
      <c r="G24" s="86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 x14ac:dyDescent="0.3">
      <c r="A25" s="2"/>
      <c r="B25" s="4" t="s">
        <v>14</v>
      </c>
      <c r="C25" s="6" t="s">
        <v>13</v>
      </c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x14ac:dyDescent="0.3">
      <c r="A26" s="2"/>
      <c r="B26" s="4"/>
      <c r="C26" s="6" t="s">
        <v>101</v>
      </c>
      <c r="D26" s="4"/>
      <c r="E26" s="4" t="s">
        <v>35</v>
      </c>
      <c r="F26" s="4">
        <v>3.8699999999999998E-2</v>
      </c>
      <c r="G26" s="5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 x14ac:dyDescent="0.3">
      <c r="A27" s="2"/>
      <c r="B27" s="4"/>
      <c r="C27" s="6" t="s">
        <v>100</v>
      </c>
      <c r="D27" s="4"/>
      <c r="E27" s="4" t="s">
        <v>35</v>
      </c>
      <c r="F27" s="4">
        <v>3.9600000000000003E-2</v>
      </c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 x14ac:dyDescent="0.3">
      <c r="A28" s="2"/>
      <c r="B28" s="4"/>
      <c r="C28" s="6" t="s">
        <v>91</v>
      </c>
      <c r="D28" s="4"/>
      <c r="E28" s="4" t="s">
        <v>38</v>
      </c>
      <c r="F28" s="4">
        <v>0.58720000000000006</v>
      </c>
      <c r="G28" s="5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 x14ac:dyDescent="0.3">
      <c r="A29" s="2"/>
      <c r="B29" s="4"/>
      <c r="C29" s="6" t="s">
        <v>40</v>
      </c>
      <c r="D29" s="4"/>
      <c r="E29" s="4" t="s">
        <v>38</v>
      </c>
      <c r="F29" s="4">
        <v>26.405999999999999</v>
      </c>
      <c r="G29" s="5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 x14ac:dyDescent="0.3">
      <c r="A30" s="2"/>
      <c r="B30" s="4"/>
      <c r="C30" s="6" t="s">
        <v>99</v>
      </c>
      <c r="D30" s="4"/>
      <c r="E30" s="4" t="s">
        <v>38</v>
      </c>
      <c r="F30" s="4">
        <v>61.56</v>
      </c>
      <c r="G30" s="5"/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 x14ac:dyDescent="0.3">
      <c r="A31" s="2"/>
      <c r="B31" s="4"/>
      <c r="C31" s="26" t="s">
        <v>56</v>
      </c>
      <c r="D31" s="4"/>
      <c r="E31" s="4" t="s">
        <v>38</v>
      </c>
      <c r="F31" s="4">
        <v>83.349000000000004</v>
      </c>
      <c r="G31" s="5"/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" x14ac:dyDescent="0.3">
      <c r="A32" s="2"/>
      <c r="B32" s="4"/>
      <c r="C32" s="6" t="s">
        <v>55</v>
      </c>
      <c r="D32" s="4"/>
      <c r="E32" s="4" t="s">
        <v>97</v>
      </c>
      <c r="F32" s="4">
        <v>17.414999999999999</v>
      </c>
      <c r="G32" s="5"/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" x14ac:dyDescent="0.3">
      <c r="A33" s="2"/>
      <c r="B33" s="4"/>
      <c r="C33" s="6" t="s">
        <v>98</v>
      </c>
      <c r="D33" s="4"/>
      <c r="E33" s="4" t="s">
        <v>97</v>
      </c>
      <c r="F33" s="4">
        <v>0.4</v>
      </c>
      <c r="G33" s="5"/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" x14ac:dyDescent="0.3">
      <c r="A34" s="2"/>
      <c r="B34" s="4"/>
      <c r="C34" s="87" t="s">
        <v>10</v>
      </c>
      <c r="D34" s="81"/>
      <c r="E34" s="81"/>
      <c r="F34" s="81"/>
      <c r="G34" s="86"/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 x14ac:dyDescent="0.3">
      <c r="A35" s="2"/>
      <c r="B35" s="4" t="s">
        <v>9</v>
      </c>
      <c r="C35" s="6" t="s">
        <v>8</v>
      </c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 x14ac:dyDescent="0.3">
      <c r="A36" s="2"/>
      <c r="B36" s="4"/>
      <c r="C36" s="87" t="s">
        <v>7</v>
      </c>
      <c r="D36" s="81"/>
      <c r="E36" s="81"/>
      <c r="F36" s="81"/>
      <c r="G36" s="86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 x14ac:dyDescent="0.3">
      <c r="A37" s="2"/>
      <c r="B37" s="4" t="s">
        <v>6</v>
      </c>
      <c r="C37" s="6" t="s">
        <v>5</v>
      </c>
      <c r="D37" s="4"/>
      <c r="E37" s="4"/>
      <c r="F37" s="4"/>
      <c r="G37" s="4"/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6" x14ac:dyDescent="0.3">
      <c r="A38" s="2"/>
      <c r="B38" s="4" t="s">
        <v>4</v>
      </c>
      <c r="C38" s="6" t="s">
        <v>3</v>
      </c>
      <c r="D38" s="4"/>
      <c r="E38" s="4"/>
      <c r="F38" s="4"/>
      <c r="G38" s="4" t="s">
        <v>2</v>
      </c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 x14ac:dyDescent="0.3">
      <c r="A39" s="2"/>
      <c r="B39" s="4" t="s">
        <v>1</v>
      </c>
      <c r="C39" s="6" t="s">
        <v>0</v>
      </c>
      <c r="D39" s="4"/>
      <c r="E39" s="4"/>
      <c r="F39" s="4"/>
      <c r="G39" s="4"/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 x14ac:dyDescent="0.3">
      <c r="A40" s="2"/>
      <c r="B40" s="89" t="s">
        <v>96</v>
      </c>
      <c r="C40" s="81"/>
      <c r="D40" s="81"/>
      <c r="E40" s="81"/>
      <c r="F40" s="81"/>
      <c r="G40" s="81"/>
      <c r="H40" s="8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 x14ac:dyDescent="0.3">
      <c r="A41" s="2"/>
      <c r="B41" s="4" t="s">
        <v>33</v>
      </c>
      <c r="C41" s="4" t="s">
        <v>32</v>
      </c>
      <c r="D41" s="4" t="s">
        <v>31</v>
      </c>
      <c r="E41" s="4" t="s">
        <v>30</v>
      </c>
      <c r="F41" s="4" t="s">
        <v>84</v>
      </c>
      <c r="G41" s="4" t="s">
        <v>28</v>
      </c>
      <c r="H41" s="4" t="s">
        <v>27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 x14ac:dyDescent="0.3">
      <c r="A42" s="2"/>
      <c r="B42" s="4" t="s">
        <v>26</v>
      </c>
      <c r="C42" s="6" t="s">
        <v>25</v>
      </c>
      <c r="D42" s="4"/>
      <c r="E42" s="4"/>
      <c r="F42" s="4"/>
      <c r="G42" s="4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 x14ac:dyDescent="0.3">
      <c r="A43" s="2"/>
      <c r="B43" s="4"/>
      <c r="C43" s="6" t="s">
        <v>24</v>
      </c>
      <c r="D43" s="4" t="s">
        <v>23</v>
      </c>
      <c r="E43" s="4" t="s">
        <v>94</v>
      </c>
      <c r="F43" s="4">
        <v>1.2E-2</v>
      </c>
      <c r="G43" s="5"/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 x14ac:dyDescent="0.3">
      <c r="A44" s="2"/>
      <c r="B44" s="4"/>
      <c r="C44" s="6" t="s">
        <v>95</v>
      </c>
      <c r="D44" s="4" t="s">
        <v>21</v>
      </c>
      <c r="E44" s="4" t="s">
        <v>94</v>
      </c>
      <c r="F44" s="4">
        <v>6.0000000000000001E-3</v>
      </c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 x14ac:dyDescent="0.3">
      <c r="A45" s="39"/>
      <c r="B45" s="4"/>
      <c r="C45" s="6" t="s">
        <v>20</v>
      </c>
      <c r="D45" s="4" t="s">
        <v>19</v>
      </c>
      <c r="E45" s="4" t="s">
        <v>94</v>
      </c>
      <c r="F45" s="4">
        <v>5.9999999999999995E-4</v>
      </c>
      <c r="G45" s="5"/>
      <c r="H45" s="5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5.6" x14ac:dyDescent="0.3">
      <c r="A46" s="2"/>
      <c r="B46" s="4"/>
      <c r="C46" s="6" t="s">
        <v>18</v>
      </c>
      <c r="D46" s="4" t="s">
        <v>17</v>
      </c>
      <c r="E46" s="4" t="s">
        <v>94</v>
      </c>
      <c r="F46" s="4">
        <v>1.1999999999999999E-3</v>
      </c>
      <c r="G46" s="5"/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" x14ac:dyDescent="0.3">
      <c r="A47" s="2"/>
      <c r="B47" s="4"/>
      <c r="C47" s="87" t="s">
        <v>15</v>
      </c>
      <c r="D47" s="81"/>
      <c r="E47" s="81"/>
      <c r="F47" s="81"/>
      <c r="G47" s="86"/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" x14ac:dyDescent="0.3">
      <c r="A48" s="2"/>
      <c r="B48" s="4" t="s">
        <v>14</v>
      </c>
      <c r="C48" s="6" t="s">
        <v>13</v>
      </c>
      <c r="D48" s="4"/>
      <c r="E48" s="4"/>
      <c r="F48" s="4"/>
      <c r="G48" s="4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 x14ac:dyDescent="0.3">
      <c r="A49" s="2"/>
      <c r="B49" s="4"/>
      <c r="C49" s="6" t="s">
        <v>93</v>
      </c>
      <c r="D49" s="4"/>
      <c r="E49" s="4" t="s">
        <v>35</v>
      </c>
      <c r="F49" s="4">
        <v>1.2999999999999999E-2</v>
      </c>
      <c r="G49" s="5"/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 x14ac:dyDescent="0.3">
      <c r="A50" s="2"/>
      <c r="B50" s="4"/>
      <c r="C50" s="6" t="s">
        <v>92</v>
      </c>
      <c r="D50" s="4"/>
      <c r="E50" s="4" t="s">
        <v>35</v>
      </c>
      <c r="F50" s="4">
        <v>7.0000000000000001E-3</v>
      </c>
      <c r="G50" s="5"/>
      <c r="H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 x14ac:dyDescent="0.3">
      <c r="A51" s="2"/>
      <c r="B51" s="4"/>
      <c r="C51" s="29" t="s">
        <v>91</v>
      </c>
      <c r="D51" s="4"/>
      <c r="E51" s="4" t="s">
        <v>38</v>
      </c>
      <c r="F51" s="4">
        <v>0.02</v>
      </c>
      <c r="G51" s="5"/>
      <c r="H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 x14ac:dyDescent="0.3">
      <c r="A52" s="2"/>
      <c r="B52" s="87" t="s">
        <v>10</v>
      </c>
      <c r="C52" s="81"/>
      <c r="D52" s="81"/>
      <c r="E52" s="81"/>
      <c r="F52" s="81"/>
      <c r="G52" s="86"/>
      <c r="H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 x14ac:dyDescent="0.3">
      <c r="A53" s="2"/>
      <c r="B53" s="4" t="s">
        <v>9</v>
      </c>
      <c r="C53" s="6" t="s">
        <v>8</v>
      </c>
      <c r="D53" s="4"/>
      <c r="E53" s="4"/>
      <c r="F53" s="4"/>
      <c r="G53" s="4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 x14ac:dyDescent="0.3">
      <c r="A54" s="2"/>
      <c r="B54" s="4"/>
      <c r="C54" s="38" t="s">
        <v>90</v>
      </c>
      <c r="D54" s="4"/>
      <c r="E54" s="4" t="s">
        <v>52</v>
      </c>
      <c r="F54" s="4">
        <v>6.0000000000000001E-3</v>
      </c>
      <c r="G54" s="5"/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 x14ac:dyDescent="0.3">
      <c r="A55" s="2"/>
      <c r="B55" s="87" t="s">
        <v>7</v>
      </c>
      <c r="C55" s="81"/>
      <c r="D55" s="81"/>
      <c r="E55" s="81"/>
      <c r="F55" s="81"/>
      <c r="G55" s="86"/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 x14ac:dyDescent="0.3">
      <c r="A56" s="2"/>
      <c r="B56" s="4" t="s">
        <v>6</v>
      </c>
      <c r="C56" s="88" t="s">
        <v>5</v>
      </c>
      <c r="D56" s="81"/>
      <c r="E56" s="81"/>
      <c r="F56" s="81"/>
      <c r="G56" s="86"/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 x14ac:dyDescent="0.3">
      <c r="A57" s="2"/>
      <c r="B57" s="4" t="s">
        <v>4</v>
      </c>
      <c r="C57" s="6" t="s">
        <v>3</v>
      </c>
      <c r="D57" s="4"/>
      <c r="E57" s="4"/>
      <c r="F57" s="4"/>
      <c r="G57" s="4" t="s">
        <v>2</v>
      </c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 x14ac:dyDescent="0.3">
      <c r="A58" s="2"/>
      <c r="B58" s="4" t="s">
        <v>1</v>
      </c>
      <c r="C58" s="88" t="s">
        <v>0</v>
      </c>
      <c r="D58" s="81"/>
      <c r="E58" s="81"/>
      <c r="F58" s="81"/>
      <c r="G58" s="86"/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 x14ac:dyDescent="0.3">
      <c r="A59" s="2"/>
      <c r="B59" s="94" t="s">
        <v>89</v>
      </c>
      <c r="C59" s="81"/>
      <c r="D59" s="81"/>
      <c r="E59" s="81"/>
      <c r="F59" s="81"/>
      <c r="G59" s="81"/>
      <c r="H59" s="8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 x14ac:dyDescent="0.3">
      <c r="A60" s="2"/>
      <c r="B60" s="34" t="s">
        <v>33</v>
      </c>
      <c r="C60" s="34" t="s">
        <v>32</v>
      </c>
      <c r="D60" s="34" t="s">
        <v>31</v>
      </c>
      <c r="E60" s="34" t="s">
        <v>30</v>
      </c>
      <c r="F60" s="34" t="s">
        <v>84</v>
      </c>
      <c r="G60" s="34" t="s">
        <v>28</v>
      </c>
      <c r="H60" s="34" t="s">
        <v>27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 x14ac:dyDescent="0.3">
      <c r="A61" s="2"/>
      <c r="B61" s="34" t="s">
        <v>26</v>
      </c>
      <c r="C61" s="36" t="s">
        <v>25</v>
      </c>
      <c r="D61" s="34"/>
      <c r="E61" s="34"/>
      <c r="F61" s="34"/>
      <c r="G61" s="34"/>
      <c r="H61" s="3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 x14ac:dyDescent="0.3">
      <c r="A62" s="2"/>
      <c r="B62" s="34"/>
      <c r="C62" s="36" t="s">
        <v>24</v>
      </c>
      <c r="D62" s="34" t="s">
        <v>88</v>
      </c>
      <c r="E62" s="34" t="s">
        <v>16</v>
      </c>
      <c r="F62" s="34">
        <v>0.67500000000000004</v>
      </c>
      <c r="G62" s="5"/>
      <c r="H62" s="3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 x14ac:dyDescent="0.3">
      <c r="A63" s="2"/>
      <c r="B63" s="34"/>
      <c r="C63" s="36" t="s">
        <v>18</v>
      </c>
      <c r="D63" s="34" t="s">
        <v>87</v>
      </c>
      <c r="E63" s="34" t="s">
        <v>16</v>
      </c>
      <c r="F63" s="34">
        <v>6.7500000000000004E-2</v>
      </c>
      <c r="G63" s="5"/>
      <c r="H63" s="3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 x14ac:dyDescent="0.3">
      <c r="A64" s="2"/>
      <c r="B64" s="90" t="s">
        <v>15</v>
      </c>
      <c r="C64" s="81"/>
      <c r="D64" s="81"/>
      <c r="E64" s="81"/>
      <c r="F64" s="81"/>
      <c r="G64" s="86"/>
      <c r="H64" s="3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 x14ac:dyDescent="0.3">
      <c r="A65" s="2"/>
      <c r="B65" s="34" t="s">
        <v>14</v>
      </c>
      <c r="C65" s="36" t="s">
        <v>13</v>
      </c>
      <c r="D65" s="34"/>
      <c r="E65" s="34"/>
      <c r="F65" s="34"/>
      <c r="G65" s="34"/>
      <c r="H65" s="3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 x14ac:dyDescent="0.3">
      <c r="A66" s="2"/>
      <c r="B66" s="34"/>
      <c r="C66" s="90" t="s">
        <v>10</v>
      </c>
      <c r="D66" s="81"/>
      <c r="E66" s="81"/>
      <c r="F66" s="81"/>
      <c r="G66" s="86"/>
      <c r="H66" s="3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 x14ac:dyDescent="0.3">
      <c r="A67" s="2"/>
      <c r="B67" s="34" t="s">
        <v>9</v>
      </c>
      <c r="C67" s="36" t="s">
        <v>8</v>
      </c>
      <c r="D67" s="34"/>
      <c r="E67" s="34"/>
      <c r="F67" s="34"/>
      <c r="G67" s="34"/>
      <c r="H67" s="3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 x14ac:dyDescent="0.3">
      <c r="A68" s="2"/>
      <c r="B68" s="34"/>
      <c r="C68" s="90" t="s">
        <v>7</v>
      </c>
      <c r="D68" s="81"/>
      <c r="E68" s="81"/>
      <c r="F68" s="81"/>
      <c r="G68" s="86"/>
      <c r="H68" s="3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3">
      <c r="A69" s="2"/>
      <c r="B69" s="34" t="s">
        <v>6</v>
      </c>
      <c r="C69" s="36" t="s">
        <v>5</v>
      </c>
      <c r="D69" s="34"/>
      <c r="E69" s="34"/>
      <c r="F69" s="34"/>
      <c r="G69" s="34"/>
      <c r="H69" s="3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3">
      <c r="A70" s="2"/>
      <c r="B70" s="34" t="s">
        <v>4</v>
      </c>
      <c r="C70" s="36" t="s">
        <v>3</v>
      </c>
      <c r="D70" s="34"/>
      <c r="E70" s="34"/>
      <c r="F70" s="34"/>
      <c r="G70" s="34" t="s">
        <v>2</v>
      </c>
      <c r="H70" s="3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3">
      <c r="A71" s="2"/>
      <c r="B71" s="34" t="s">
        <v>1</v>
      </c>
      <c r="C71" s="36" t="s">
        <v>0</v>
      </c>
      <c r="D71" s="34"/>
      <c r="E71" s="34"/>
      <c r="F71" s="34"/>
      <c r="G71" s="34"/>
      <c r="H71" s="3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3">
      <c r="A72" s="2"/>
      <c r="B72" s="91" t="s">
        <v>86</v>
      </c>
      <c r="C72" s="92"/>
      <c r="D72" s="92"/>
      <c r="E72" s="92"/>
      <c r="F72" s="92"/>
      <c r="G72" s="92"/>
      <c r="H72" s="9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3">
      <c r="A73" s="2"/>
      <c r="B73" s="93"/>
      <c r="C73" s="93"/>
      <c r="D73" s="93"/>
      <c r="E73" s="93"/>
      <c r="F73" s="93"/>
      <c r="G73" s="93"/>
      <c r="H73" s="9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3">
      <c r="A74" s="2"/>
      <c r="B74" s="34" t="s">
        <v>33</v>
      </c>
      <c r="C74" s="34" t="s">
        <v>32</v>
      </c>
      <c r="D74" s="34" t="s">
        <v>31</v>
      </c>
      <c r="E74" s="34" t="s">
        <v>30</v>
      </c>
      <c r="F74" s="34" t="s">
        <v>84</v>
      </c>
      <c r="G74" s="34" t="s">
        <v>28</v>
      </c>
      <c r="H74" s="34" t="s">
        <v>27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3">
      <c r="A75" s="2"/>
      <c r="B75" s="34" t="s">
        <v>26</v>
      </c>
      <c r="C75" s="36" t="s">
        <v>25</v>
      </c>
      <c r="D75" s="34"/>
      <c r="E75" s="34"/>
      <c r="F75" s="34"/>
      <c r="G75" s="34"/>
      <c r="H75" s="3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3">
      <c r="A76" s="2"/>
      <c r="B76" s="34"/>
      <c r="C76" s="36" t="s">
        <v>24</v>
      </c>
      <c r="D76" s="34" t="s">
        <v>23</v>
      </c>
      <c r="E76" s="34" t="s">
        <v>16</v>
      </c>
      <c r="F76" s="34">
        <v>0.5</v>
      </c>
      <c r="G76" s="5"/>
      <c r="H76" s="3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3">
      <c r="A77" s="2"/>
      <c r="B77" s="34"/>
      <c r="C77" s="36" t="s">
        <v>18</v>
      </c>
      <c r="D77" s="34" t="s">
        <v>17</v>
      </c>
      <c r="E77" s="34" t="s">
        <v>16</v>
      </c>
      <c r="F77" s="34">
        <v>2.5000000000000001E-2</v>
      </c>
      <c r="G77" s="5"/>
      <c r="H77" s="3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3">
      <c r="A78" s="2"/>
      <c r="B78" s="34"/>
      <c r="C78" s="90" t="s">
        <v>15</v>
      </c>
      <c r="D78" s="81"/>
      <c r="E78" s="81"/>
      <c r="F78" s="81"/>
      <c r="G78" s="86"/>
      <c r="H78" s="3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3">
      <c r="A79" s="2"/>
      <c r="B79" s="34" t="s">
        <v>14</v>
      </c>
      <c r="C79" s="36" t="s">
        <v>13</v>
      </c>
      <c r="D79" s="34"/>
      <c r="E79" s="34"/>
      <c r="F79" s="34"/>
      <c r="G79" s="34"/>
      <c r="H79" s="3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3">
      <c r="A80" s="2"/>
      <c r="B80" s="34"/>
      <c r="C80" s="90" t="s">
        <v>10</v>
      </c>
      <c r="D80" s="81"/>
      <c r="E80" s="81"/>
      <c r="F80" s="81"/>
      <c r="G80" s="86"/>
      <c r="H80" s="3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3">
      <c r="A81" s="2"/>
      <c r="B81" s="34"/>
      <c r="C81" s="36" t="s">
        <v>8</v>
      </c>
      <c r="D81" s="34"/>
      <c r="E81" s="34"/>
      <c r="F81" s="34"/>
      <c r="G81" s="34"/>
      <c r="H81" s="3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3">
      <c r="A82" s="2"/>
      <c r="B82" s="34"/>
      <c r="C82" s="90" t="s">
        <v>7</v>
      </c>
      <c r="D82" s="81"/>
      <c r="E82" s="81"/>
      <c r="F82" s="81"/>
      <c r="G82" s="86"/>
      <c r="H82" s="3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3">
      <c r="A83" s="2"/>
      <c r="B83" s="34" t="s">
        <v>6</v>
      </c>
      <c r="C83" s="36" t="s">
        <v>5</v>
      </c>
      <c r="D83" s="34"/>
      <c r="E83" s="34"/>
      <c r="F83" s="34"/>
      <c r="G83" s="34"/>
      <c r="H83" s="3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3">
      <c r="A84" s="2"/>
      <c r="B84" s="34" t="s">
        <v>4</v>
      </c>
      <c r="C84" s="36" t="s">
        <v>3</v>
      </c>
      <c r="D84" s="34"/>
      <c r="E84" s="34"/>
      <c r="F84" s="34"/>
      <c r="G84" s="34" t="s">
        <v>2</v>
      </c>
      <c r="H84" s="3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3">
      <c r="A85" s="2"/>
      <c r="B85" s="34" t="s">
        <v>1</v>
      </c>
      <c r="C85" s="36" t="s">
        <v>0</v>
      </c>
      <c r="D85" s="34"/>
      <c r="E85" s="34"/>
      <c r="F85" s="34"/>
      <c r="G85" s="34"/>
      <c r="H85" s="3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3">
      <c r="A86" s="2"/>
      <c r="B86" s="91" t="s">
        <v>85</v>
      </c>
      <c r="C86" s="92"/>
      <c r="D86" s="92"/>
      <c r="E86" s="92"/>
      <c r="F86" s="92"/>
      <c r="G86" s="92"/>
      <c r="H86" s="9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3">
      <c r="A87" s="2"/>
      <c r="B87" s="93"/>
      <c r="C87" s="93"/>
      <c r="D87" s="93"/>
      <c r="E87" s="93"/>
      <c r="F87" s="93"/>
      <c r="G87" s="93"/>
      <c r="H87" s="9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3">
      <c r="A88" s="2"/>
      <c r="B88" s="34" t="s">
        <v>33</v>
      </c>
      <c r="C88" s="34" t="s">
        <v>32</v>
      </c>
      <c r="D88" s="34" t="s">
        <v>31</v>
      </c>
      <c r="E88" s="34" t="s">
        <v>30</v>
      </c>
      <c r="F88" s="34" t="s">
        <v>84</v>
      </c>
      <c r="G88" s="34" t="s">
        <v>28</v>
      </c>
      <c r="H88" s="34" t="s">
        <v>27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3">
      <c r="A89" s="2"/>
      <c r="B89" s="34" t="s">
        <v>26</v>
      </c>
      <c r="C89" s="36" t="s">
        <v>25</v>
      </c>
      <c r="D89" s="34"/>
      <c r="E89" s="34"/>
      <c r="F89" s="34"/>
      <c r="G89" s="34"/>
      <c r="H89" s="3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3">
      <c r="A90" s="2"/>
      <c r="B90" s="34"/>
      <c r="C90" s="90" t="s">
        <v>15</v>
      </c>
      <c r="D90" s="81"/>
      <c r="E90" s="81"/>
      <c r="F90" s="81"/>
      <c r="G90" s="86"/>
      <c r="H90" s="3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3">
      <c r="A91" s="2"/>
      <c r="B91" s="34" t="s">
        <v>14</v>
      </c>
      <c r="C91" s="36" t="s">
        <v>13</v>
      </c>
      <c r="D91" s="34"/>
      <c r="E91" s="34"/>
      <c r="F91" s="34"/>
      <c r="G91" s="34"/>
      <c r="H91" s="3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3">
      <c r="A92" s="2"/>
      <c r="B92" s="90" t="s">
        <v>10</v>
      </c>
      <c r="C92" s="81"/>
      <c r="D92" s="81"/>
      <c r="E92" s="81"/>
      <c r="F92" s="81"/>
      <c r="G92" s="86"/>
      <c r="H92" s="35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3">
      <c r="A93" s="2"/>
      <c r="B93" s="34" t="s">
        <v>9</v>
      </c>
      <c r="C93" s="36" t="s">
        <v>8</v>
      </c>
      <c r="D93" s="34"/>
      <c r="E93" s="34"/>
      <c r="F93" s="34"/>
      <c r="G93" s="34"/>
      <c r="H93" s="3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3">
      <c r="A94" s="2"/>
      <c r="B94" s="34"/>
      <c r="C94" s="37" t="s">
        <v>83</v>
      </c>
      <c r="D94" s="34"/>
      <c r="E94" s="34" t="s">
        <v>52</v>
      </c>
      <c r="F94" s="34">
        <v>8.8999999999999999E-3</v>
      </c>
      <c r="G94" s="5"/>
      <c r="H94" s="35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3">
      <c r="A95" s="2"/>
      <c r="B95" s="90" t="s">
        <v>7</v>
      </c>
      <c r="C95" s="81"/>
      <c r="D95" s="81"/>
      <c r="E95" s="81"/>
      <c r="F95" s="81"/>
      <c r="G95" s="86"/>
      <c r="H95" s="35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3">
      <c r="A96" s="2"/>
      <c r="B96" s="34" t="s">
        <v>6</v>
      </c>
      <c r="C96" s="95" t="s">
        <v>5</v>
      </c>
      <c r="D96" s="81"/>
      <c r="E96" s="81"/>
      <c r="F96" s="81"/>
      <c r="G96" s="86"/>
      <c r="H96" s="35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x14ac:dyDescent="0.3">
      <c r="A97" s="2"/>
      <c r="B97" s="34" t="s">
        <v>4</v>
      </c>
      <c r="C97" s="36" t="s">
        <v>3</v>
      </c>
      <c r="D97" s="34"/>
      <c r="E97" s="34"/>
      <c r="F97" s="34"/>
      <c r="G97" s="34" t="s">
        <v>2</v>
      </c>
      <c r="H97" s="35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x14ac:dyDescent="0.3">
      <c r="A98" s="2"/>
      <c r="B98" s="34" t="s">
        <v>1</v>
      </c>
      <c r="C98" s="95" t="s">
        <v>0</v>
      </c>
      <c r="D98" s="81"/>
      <c r="E98" s="81"/>
      <c r="F98" s="81"/>
      <c r="G98" s="86"/>
      <c r="H98" s="35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x14ac:dyDescent="0.3">
      <c r="A99" s="2"/>
      <c r="B99" s="96" t="s">
        <v>72</v>
      </c>
      <c r="C99" s="82"/>
      <c r="D99" s="82"/>
      <c r="E99" s="82"/>
      <c r="F99" s="82"/>
      <c r="G99" s="82"/>
      <c r="H99" s="9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x14ac:dyDescent="0.3">
      <c r="A100" s="2"/>
      <c r="B100" s="98"/>
      <c r="C100" s="99"/>
      <c r="D100" s="99"/>
      <c r="E100" s="99"/>
      <c r="F100" s="99"/>
      <c r="G100" s="99"/>
      <c r="H100" s="10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x14ac:dyDescent="0.3">
      <c r="A101" s="2"/>
      <c r="B101" s="4" t="s">
        <v>33</v>
      </c>
      <c r="C101" s="4" t="s">
        <v>32</v>
      </c>
      <c r="D101" s="4" t="s">
        <v>31</v>
      </c>
      <c r="E101" s="4" t="s">
        <v>30</v>
      </c>
      <c r="F101" s="4" t="s">
        <v>29</v>
      </c>
      <c r="G101" s="4" t="s">
        <v>28</v>
      </c>
      <c r="H101" s="4" t="s">
        <v>27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x14ac:dyDescent="0.3">
      <c r="A102" s="2"/>
      <c r="B102" s="4" t="s">
        <v>26</v>
      </c>
      <c r="C102" s="3" t="s">
        <v>25</v>
      </c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x14ac:dyDescent="0.3">
      <c r="A103" s="2"/>
      <c r="B103" s="3"/>
      <c r="C103" s="3" t="s">
        <v>24</v>
      </c>
      <c r="D103" s="4" t="s">
        <v>23</v>
      </c>
      <c r="E103" s="4" t="s">
        <v>16</v>
      </c>
      <c r="F103" s="31">
        <v>1.6000000000000001E-3</v>
      </c>
      <c r="G103" s="5"/>
      <c r="H103" s="5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x14ac:dyDescent="0.3">
      <c r="A104" s="2"/>
      <c r="B104" s="3"/>
      <c r="C104" s="3" t="s">
        <v>71</v>
      </c>
      <c r="D104" s="4" t="s">
        <v>21</v>
      </c>
      <c r="E104" s="4" t="s">
        <v>16</v>
      </c>
      <c r="F104" s="31">
        <v>1.6000000000000001E-3</v>
      </c>
      <c r="G104" s="5"/>
      <c r="H104" s="5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x14ac:dyDescent="0.3">
      <c r="A105" s="2"/>
      <c r="B105" s="3"/>
      <c r="C105" s="3" t="s">
        <v>20</v>
      </c>
      <c r="D105" s="4" t="s">
        <v>19</v>
      </c>
      <c r="E105" s="4" t="s">
        <v>16</v>
      </c>
      <c r="F105" s="31">
        <v>1.6000000000000001E-4</v>
      </c>
      <c r="G105" s="5"/>
      <c r="H105" s="5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x14ac:dyDescent="0.3">
      <c r="A106" s="2"/>
      <c r="B106" s="3"/>
      <c r="C106" s="3" t="s">
        <v>18</v>
      </c>
      <c r="D106" s="4" t="s">
        <v>17</v>
      </c>
      <c r="E106" s="4" t="s">
        <v>16</v>
      </c>
      <c r="F106" s="31">
        <v>1.6000000000000001E-4</v>
      </c>
      <c r="G106" s="5"/>
      <c r="H106" s="5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x14ac:dyDescent="0.3">
      <c r="A107" s="2"/>
      <c r="B107" s="3"/>
      <c r="C107" s="10" t="s">
        <v>15</v>
      </c>
      <c r="D107" s="9"/>
      <c r="E107" s="9"/>
      <c r="F107" s="9"/>
      <c r="G107" s="8"/>
      <c r="H107" s="5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x14ac:dyDescent="0.3">
      <c r="A108" s="2"/>
      <c r="B108" s="4" t="s">
        <v>14</v>
      </c>
      <c r="C108" s="3" t="s">
        <v>13</v>
      </c>
      <c r="D108" s="3"/>
      <c r="E108" s="3"/>
      <c r="F108" s="3"/>
      <c r="G108" s="3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x14ac:dyDescent="0.3">
      <c r="A109" s="2"/>
      <c r="B109" s="3"/>
      <c r="C109" s="26" t="s">
        <v>70</v>
      </c>
      <c r="D109" s="3"/>
      <c r="E109" s="4" t="s">
        <v>38</v>
      </c>
      <c r="F109" s="27">
        <v>1</v>
      </c>
      <c r="G109" s="5"/>
      <c r="H109" s="5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 x14ac:dyDescent="0.3">
      <c r="A110" s="2"/>
      <c r="B110" s="3"/>
      <c r="C110" s="26" t="s">
        <v>69</v>
      </c>
      <c r="D110" s="3"/>
      <c r="E110" s="4" t="s">
        <v>38</v>
      </c>
      <c r="F110" s="7">
        <v>2.8000000000000001E-2</v>
      </c>
      <c r="G110" s="5"/>
      <c r="H110" s="5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 x14ac:dyDescent="0.3">
      <c r="A111" s="2"/>
      <c r="B111" s="3"/>
      <c r="C111" s="10" t="s">
        <v>10</v>
      </c>
      <c r="D111" s="9"/>
      <c r="E111" s="9"/>
      <c r="F111" s="9"/>
      <c r="G111" s="8"/>
      <c r="H111" s="5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 x14ac:dyDescent="0.3">
      <c r="A112" s="2"/>
      <c r="B112" s="4" t="s">
        <v>9</v>
      </c>
      <c r="C112" s="3" t="s">
        <v>8</v>
      </c>
      <c r="D112" s="3"/>
      <c r="E112" s="3"/>
      <c r="F112" s="3"/>
      <c r="G112" s="3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 x14ac:dyDescent="0.3">
      <c r="A113" s="2"/>
      <c r="B113" s="3"/>
      <c r="C113" s="3" t="s">
        <v>68</v>
      </c>
      <c r="D113" s="3"/>
      <c r="E113" s="4" t="s">
        <v>52</v>
      </c>
      <c r="F113" s="7">
        <v>0.04</v>
      </c>
      <c r="G113" s="5"/>
      <c r="H113" s="5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 x14ac:dyDescent="0.3">
      <c r="A114" s="2"/>
      <c r="B114" s="3"/>
      <c r="C114" s="3" t="s">
        <v>67</v>
      </c>
      <c r="D114" s="3"/>
      <c r="E114" s="4" t="s">
        <v>66</v>
      </c>
      <c r="F114" s="7">
        <v>0.04</v>
      </c>
      <c r="G114" s="5"/>
      <c r="H114" s="5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 x14ac:dyDescent="0.3">
      <c r="A115" s="2"/>
      <c r="B115" s="3"/>
      <c r="C115" s="10" t="s">
        <v>7</v>
      </c>
      <c r="D115" s="9"/>
      <c r="E115" s="9"/>
      <c r="F115" s="9"/>
      <c r="G115" s="8"/>
      <c r="H115" s="5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 x14ac:dyDescent="0.3">
      <c r="A116" s="2"/>
      <c r="B116" s="4" t="s">
        <v>6</v>
      </c>
      <c r="C116" s="3" t="s">
        <v>5</v>
      </c>
      <c r="D116" s="3"/>
      <c r="E116" s="3"/>
      <c r="F116" s="28"/>
      <c r="G116" s="3"/>
      <c r="H116" s="5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 x14ac:dyDescent="0.3">
      <c r="A117" s="2"/>
      <c r="B117" s="4" t="s">
        <v>4</v>
      </c>
      <c r="C117" s="6" t="s">
        <v>3</v>
      </c>
      <c r="D117" s="4"/>
      <c r="E117" s="4"/>
      <c r="F117" s="4"/>
      <c r="G117" s="4" t="s">
        <v>2</v>
      </c>
      <c r="H117" s="5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 x14ac:dyDescent="0.3">
      <c r="A118" s="2"/>
      <c r="B118" s="4" t="s">
        <v>1</v>
      </c>
      <c r="C118" s="3" t="s">
        <v>0</v>
      </c>
      <c r="D118" s="3"/>
      <c r="E118" s="3"/>
      <c r="F118" s="3"/>
      <c r="G118" s="3"/>
      <c r="H118" s="5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 x14ac:dyDescent="0.3">
      <c r="A119" s="2"/>
      <c r="B119" s="85" t="s">
        <v>82</v>
      </c>
      <c r="C119" s="81"/>
      <c r="D119" s="81"/>
      <c r="E119" s="81"/>
      <c r="F119" s="81"/>
      <c r="G119" s="81"/>
      <c r="H119" s="8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x14ac:dyDescent="0.3">
      <c r="A120" s="2"/>
      <c r="B120" s="4" t="s">
        <v>33</v>
      </c>
      <c r="C120" s="4" t="s">
        <v>32</v>
      </c>
      <c r="D120" s="4" t="s">
        <v>31</v>
      </c>
      <c r="E120" s="4" t="s">
        <v>30</v>
      </c>
      <c r="F120" s="4" t="s">
        <v>29</v>
      </c>
      <c r="G120" s="4" t="s">
        <v>28</v>
      </c>
      <c r="H120" s="4" t="s">
        <v>27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x14ac:dyDescent="0.3">
      <c r="A121" s="2"/>
      <c r="B121" s="4" t="s">
        <v>26</v>
      </c>
      <c r="C121" s="6" t="s">
        <v>25</v>
      </c>
      <c r="D121" s="4"/>
      <c r="E121" s="4"/>
      <c r="F121" s="4"/>
      <c r="G121" s="4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x14ac:dyDescent="0.3">
      <c r="A122" s="2"/>
      <c r="B122" s="3"/>
      <c r="C122" s="6" t="s">
        <v>24</v>
      </c>
      <c r="D122" s="4" t="s">
        <v>23</v>
      </c>
      <c r="E122" s="4" t="s">
        <v>16</v>
      </c>
      <c r="F122" s="7">
        <v>0.52</v>
      </c>
      <c r="G122" s="5"/>
      <c r="H122" s="5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x14ac:dyDescent="0.3">
      <c r="A123" s="2"/>
      <c r="B123" s="3"/>
      <c r="C123" s="29" t="s">
        <v>22</v>
      </c>
      <c r="D123" s="4" t="s">
        <v>21</v>
      </c>
      <c r="E123" s="4" t="s">
        <v>16</v>
      </c>
      <c r="F123" s="7">
        <v>0.26</v>
      </c>
      <c r="G123" s="5"/>
      <c r="H123" s="5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x14ac:dyDescent="0.3">
      <c r="A124" s="2"/>
      <c r="B124" s="3"/>
      <c r="C124" s="6" t="s">
        <v>20</v>
      </c>
      <c r="D124" s="4" t="s">
        <v>19</v>
      </c>
      <c r="E124" s="4" t="s">
        <v>16</v>
      </c>
      <c r="F124" s="7">
        <v>2.5999999999999999E-2</v>
      </c>
      <c r="G124" s="5"/>
      <c r="H124" s="5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x14ac:dyDescent="0.3">
      <c r="A125" s="2"/>
      <c r="B125" s="3"/>
      <c r="C125" s="6" t="s">
        <v>18</v>
      </c>
      <c r="D125" s="4" t="s">
        <v>17</v>
      </c>
      <c r="E125" s="4" t="s">
        <v>16</v>
      </c>
      <c r="F125" s="7">
        <v>8.9999999999999993E-3</v>
      </c>
      <c r="G125" s="5"/>
      <c r="H125" s="5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x14ac:dyDescent="0.3">
      <c r="A126" s="2"/>
      <c r="B126" s="3"/>
      <c r="C126" s="10" t="s">
        <v>15</v>
      </c>
      <c r="D126" s="9"/>
      <c r="E126" s="9"/>
      <c r="F126" s="9"/>
      <c r="G126" s="8"/>
      <c r="H126" s="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x14ac:dyDescent="0.3">
      <c r="A127" s="2"/>
      <c r="B127" s="4" t="s">
        <v>14</v>
      </c>
      <c r="C127" s="6" t="s">
        <v>13</v>
      </c>
      <c r="D127" s="4"/>
      <c r="E127" s="4"/>
      <c r="F127" s="4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x14ac:dyDescent="0.3">
      <c r="A128" s="2"/>
      <c r="B128" s="3"/>
      <c r="C128" s="26" t="s">
        <v>79</v>
      </c>
      <c r="D128" s="4"/>
      <c r="E128" s="4" t="s">
        <v>35</v>
      </c>
      <c r="F128" s="7">
        <v>1.6E-2</v>
      </c>
      <c r="G128" s="5"/>
      <c r="H128" s="3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 x14ac:dyDescent="0.3">
      <c r="A129" s="2"/>
      <c r="B129" s="3"/>
      <c r="C129" s="6" t="s">
        <v>78</v>
      </c>
      <c r="D129" s="4"/>
      <c r="E129" s="4" t="s">
        <v>38</v>
      </c>
      <c r="F129" s="7">
        <v>0.3</v>
      </c>
      <c r="G129" s="5"/>
      <c r="H129" s="3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 x14ac:dyDescent="0.3">
      <c r="A130" s="2"/>
      <c r="B130" s="3"/>
      <c r="C130" s="6" t="s">
        <v>81</v>
      </c>
      <c r="D130" s="4"/>
      <c r="E130" s="4" t="s">
        <v>47</v>
      </c>
      <c r="F130" s="7">
        <v>0.1</v>
      </c>
      <c r="G130" s="5"/>
      <c r="H130" s="3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 x14ac:dyDescent="0.3">
      <c r="A131" s="2"/>
      <c r="B131" s="3"/>
      <c r="C131" s="10" t="s">
        <v>10</v>
      </c>
      <c r="D131" s="9"/>
      <c r="E131" s="9"/>
      <c r="F131" s="9"/>
      <c r="G131" s="8"/>
      <c r="H131" s="3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 x14ac:dyDescent="0.3">
      <c r="A132" s="2"/>
      <c r="B132" s="4" t="s">
        <v>9</v>
      </c>
      <c r="C132" s="6" t="s">
        <v>8</v>
      </c>
      <c r="D132" s="4"/>
      <c r="E132" s="4"/>
      <c r="F132" s="4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 x14ac:dyDescent="0.3">
      <c r="A133" s="2"/>
      <c r="B133" s="4"/>
      <c r="C133" s="10" t="s">
        <v>7</v>
      </c>
      <c r="D133" s="9"/>
      <c r="E133" s="9"/>
      <c r="F133" s="9"/>
      <c r="G133" s="8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 x14ac:dyDescent="0.3">
      <c r="A134" s="2"/>
      <c r="B134" s="4" t="s">
        <v>6</v>
      </c>
      <c r="C134" s="6" t="s">
        <v>5</v>
      </c>
      <c r="D134" s="4"/>
      <c r="E134" s="4"/>
      <c r="F134" s="7"/>
      <c r="G134" s="3"/>
      <c r="H134" s="5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 x14ac:dyDescent="0.3">
      <c r="A135" s="2"/>
      <c r="B135" s="4" t="s">
        <v>4</v>
      </c>
      <c r="C135" s="6" t="s">
        <v>3</v>
      </c>
      <c r="D135" s="4"/>
      <c r="E135" s="4"/>
      <c r="F135" s="4"/>
      <c r="G135" s="4" t="s">
        <v>2</v>
      </c>
      <c r="H135" s="5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 x14ac:dyDescent="0.3">
      <c r="A136" s="2"/>
      <c r="B136" s="4" t="s">
        <v>1</v>
      </c>
      <c r="C136" s="3" t="s">
        <v>0</v>
      </c>
      <c r="D136" s="3"/>
      <c r="E136" s="3"/>
      <c r="F136" s="3"/>
      <c r="G136" s="3"/>
      <c r="H136" s="5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 x14ac:dyDescent="0.3">
      <c r="A137" s="2"/>
      <c r="B137" s="85" t="s">
        <v>59</v>
      </c>
      <c r="C137" s="81"/>
      <c r="D137" s="81"/>
      <c r="E137" s="81"/>
      <c r="F137" s="81"/>
      <c r="G137" s="81"/>
      <c r="H137" s="8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 x14ac:dyDescent="0.3">
      <c r="A138" s="2"/>
      <c r="B138" s="4" t="s">
        <v>33</v>
      </c>
      <c r="C138" s="4" t="s">
        <v>32</v>
      </c>
      <c r="D138" s="4" t="s">
        <v>31</v>
      </c>
      <c r="E138" s="4" t="s">
        <v>30</v>
      </c>
      <c r="F138" s="4" t="s">
        <v>29</v>
      </c>
      <c r="G138" s="4" t="s">
        <v>28</v>
      </c>
      <c r="H138" s="4" t="s">
        <v>27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 x14ac:dyDescent="0.3">
      <c r="A139" s="2"/>
      <c r="B139" s="4" t="s">
        <v>26</v>
      </c>
      <c r="C139" s="6" t="s">
        <v>25</v>
      </c>
      <c r="D139" s="4"/>
      <c r="E139" s="4"/>
      <c r="F139" s="4"/>
      <c r="G139" s="4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 x14ac:dyDescent="0.3">
      <c r="A140" s="2"/>
      <c r="B140" s="3"/>
      <c r="C140" s="6" t="s">
        <v>24</v>
      </c>
      <c r="D140" s="4" t="s">
        <v>23</v>
      </c>
      <c r="E140" s="4" t="s">
        <v>16</v>
      </c>
      <c r="F140" s="7">
        <v>1</v>
      </c>
      <c r="G140" s="5"/>
      <c r="H140" s="5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 x14ac:dyDescent="0.3">
      <c r="A141" s="2"/>
      <c r="B141" s="3"/>
      <c r="C141" s="6" t="s">
        <v>58</v>
      </c>
      <c r="D141" s="4" t="s">
        <v>21</v>
      </c>
      <c r="E141" s="4" t="s">
        <v>16</v>
      </c>
      <c r="F141" s="7">
        <v>0.25</v>
      </c>
      <c r="G141" s="5"/>
      <c r="H141" s="5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 x14ac:dyDescent="0.3">
      <c r="A142" s="2"/>
      <c r="B142" s="3"/>
      <c r="C142" s="6" t="s">
        <v>20</v>
      </c>
      <c r="D142" s="4" t="s">
        <v>19</v>
      </c>
      <c r="E142" s="4" t="s">
        <v>16</v>
      </c>
      <c r="F142" s="7">
        <v>2.5000000000000001E-2</v>
      </c>
      <c r="G142" s="5"/>
      <c r="H142" s="5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 x14ac:dyDescent="0.3">
      <c r="A143" s="2"/>
      <c r="B143" s="3"/>
      <c r="C143" s="6" t="s">
        <v>18</v>
      </c>
      <c r="D143" s="4" t="s">
        <v>17</v>
      </c>
      <c r="E143" s="4" t="s">
        <v>16</v>
      </c>
      <c r="F143" s="7">
        <v>0.1</v>
      </c>
      <c r="G143" s="5"/>
      <c r="H143" s="5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 x14ac:dyDescent="0.3">
      <c r="A144" s="2"/>
      <c r="B144" s="3"/>
      <c r="C144" s="10" t="s">
        <v>15</v>
      </c>
      <c r="D144" s="9"/>
      <c r="E144" s="9"/>
      <c r="F144" s="9"/>
      <c r="G144" s="8"/>
      <c r="H144" s="5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 x14ac:dyDescent="0.3">
      <c r="A145" s="2"/>
      <c r="B145" s="4" t="s">
        <v>14</v>
      </c>
      <c r="C145" s="6" t="s">
        <v>13</v>
      </c>
      <c r="D145" s="4"/>
      <c r="E145" s="4"/>
      <c r="F145" s="4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 x14ac:dyDescent="0.3">
      <c r="A146" s="2"/>
      <c r="B146" s="3"/>
      <c r="C146" s="15" t="s">
        <v>40</v>
      </c>
      <c r="D146" s="4"/>
      <c r="E146" s="4" t="s">
        <v>38</v>
      </c>
      <c r="F146" s="27">
        <v>408</v>
      </c>
      <c r="G146" s="5"/>
      <c r="H146" s="5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 x14ac:dyDescent="0.3">
      <c r="A147" s="2"/>
      <c r="B147" s="3"/>
      <c r="C147" s="6" t="s">
        <v>57</v>
      </c>
      <c r="D147" s="4"/>
      <c r="E147" s="4" t="s">
        <v>38</v>
      </c>
      <c r="F147" s="27">
        <v>629</v>
      </c>
      <c r="G147" s="5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 x14ac:dyDescent="0.3">
      <c r="A148" s="2"/>
      <c r="B148" s="3"/>
      <c r="C148" s="6" t="s">
        <v>56</v>
      </c>
      <c r="D148" s="4"/>
      <c r="E148" s="4" t="s">
        <v>38</v>
      </c>
      <c r="F148" s="27">
        <v>1009</v>
      </c>
      <c r="G148" s="5"/>
      <c r="H148" s="5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 x14ac:dyDescent="0.3">
      <c r="A149" s="2"/>
      <c r="B149" s="3"/>
      <c r="C149" s="6" t="s">
        <v>55</v>
      </c>
      <c r="D149" s="4"/>
      <c r="E149" s="4" t="s">
        <v>47</v>
      </c>
      <c r="F149" s="27">
        <v>202</v>
      </c>
      <c r="G149" s="5"/>
      <c r="H149" s="5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 x14ac:dyDescent="0.3">
      <c r="A150" s="2"/>
      <c r="B150" s="3"/>
      <c r="C150" s="6" t="s">
        <v>54</v>
      </c>
      <c r="D150" s="4"/>
      <c r="E150" s="4" t="s">
        <v>38</v>
      </c>
      <c r="F150" s="27">
        <v>102</v>
      </c>
      <c r="G150" s="5"/>
      <c r="H150" s="5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 x14ac:dyDescent="0.3">
      <c r="A151" s="2"/>
      <c r="B151" s="3"/>
      <c r="C151" s="10" t="s">
        <v>10</v>
      </c>
      <c r="D151" s="9"/>
      <c r="E151" s="9"/>
      <c r="F151" s="9"/>
      <c r="G151" s="8"/>
      <c r="H151" s="5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 x14ac:dyDescent="0.3">
      <c r="A152" s="2"/>
      <c r="B152" s="4" t="s">
        <v>9</v>
      </c>
      <c r="C152" s="6" t="s">
        <v>8</v>
      </c>
      <c r="D152" s="4"/>
      <c r="E152" s="4"/>
      <c r="F152" s="4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 x14ac:dyDescent="0.3">
      <c r="A153" s="2"/>
      <c r="B153" s="4"/>
      <c r="C153" s="26" t="s">
        <v>53</v>
      </c>
      <c r="D153" s="4"/>
      <c r="E153" s="4" t="s">
        <v>52</v>
      </c>
      <c r="F153" s="4">
        <v>0.14749999999999999</v>
      </c>
      <c r="G153" s="5"/>
      <c r="H153" s="5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 x14ac:dyDescent="0.3">
      <c r="A154" s="2"/>
      <c r="B154" s="4"/>
      <c r="C154" s="10" t="s">
        <v>7</v>
      </c>
      <c r="D154" s="9"/>
      <c r="E154" s="9"/>
      <c r="F154" s="9"/>
      <c r="G154" s="8"/>
      <c r="H154" s="5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 x14ac:dyDescent="0.3">
      <c r="A155" s="2"/>
      <c r="B155" s="4" t="s">
        <v>6</v>
      </c>
      <c r="C155" s="6" t="s">
        <v>5</v>
      </c>
      <c r="D155" s="4"/>
      <c r="E155" s="4"/>
      <c r="F155" s="7"/>
      <c r="G155" s="3"/>
      <c r="H155" s="5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 x14ac:dyDescent="0.3">
      <c r="A156" s="2"/>
      <c r="B156" s="4" t="s">
        <v>4</v>
      </c>
      <c r="C156" s="6" t="s">
        <v>3</v>
      </c>
      <c r="D156" s="4"/>
      <c r="E156" s="4"/>
      <c r="F156" s="4"/>
      <c r="G156" s="4" t="s">
        <v>2</v>
      </c>
      <c r="H156" s="5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 x14ac:dyDescent="0.3">
      <c r="A157" s="2"/>
      <c r="B157" s="4" t="s">
        <v>1</v>
      </c>
      <c r="C157" s="3" t="s">
        <v>0</v>
      </c>
      <c r="D157" s="3"/>
      <c r="E157" s="3"/>
      <c r="F157" s="3"/>
      <c r="G157" s="3"/>
      <c r="H157" s="5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 x14ac:dyDescent="0.3">
      <c r="A158" s="2"/>
      <c r="B158" s="89" t="s">
        <v>73</v>
      </c>
      <c r="C158" s="81"/>
      <c r="D158" s="81"/>
      <c r="E158" s="81"/>
      <c r="F158" s="81"/>
      <c r="G158" s="81"/>
      <c r="H158" s="8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 x14ac:dyDescent="0.3">
      <c r="A159" s="2"/>
      <c r="B159" s="4" t="s">
        <v>33</v>
      </c>
      <c r="C159" s="4" t="s">
        <v>32</v>
      </c>
      <c r="D159" s="4" t="s">
        <v>31</v>
      </c>
      <c r="E159" s="4" t="s">
        <v>30</v>
      </c>
      <c r="F159" s="4" t="s">
        <v>29</v>
      </c>
      <c r="G159" s="4" t="s">
        <v>28</v>
      </c>
      <c r="H159" s="4" t="s">
        <v>27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 x14ac:dyDescent="0.3">
      <c r="A160" s="2"/>
      <c r="B160" s="4" t="s">
        <v>26</v>
      </c>
      <c r="C160" s="6" t="s">
        <v>25</v>
      </c>
      <c r="D160" s="4"/>
      <c r="E160" s="4"/>
      <c r="F160" s="4"/>
      <c r="G160" s="4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 x14ac:dyDescent="0.3">
      <c r="A161" s="2"/>
      <c r="B161" s="3"/>
      <c r="C161" s="6" t="s">
        <v>24</v>
      </c>
      <c r="D161" s="4" t="s">
        <v>23</v>
      </c>
      <c r="E161" s="4" t="s">
        <v>16</v>
      </c>
      <c r="F161" s="7">
        <v>0.06</v>
      </c>
      <c r="G161" s="5"/>
      <c r="H161" s="5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 x14ac:dyDescent="0.3">
      <c r="A162" s="2"/>
      <c r="B162" s="3"/>
      <c r="C162" s="6" t="s">
        <v>18</v>
      </c>
      <c r="D162" s="4" t="s">
        <v>17</v>
      </c>
      <c r="E162" s="4" t="s">
        <v>16</v>
      </c>
      <c r="F162" s="7">
        <v>6.0000000000000001E-3</v>
      </c>
      <c r="G162" s="5"/>
      <c r="H162" s="5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 x14ac:dyDescent="0.3">
      <c r="A163" s="2"/>
      <c r="B163" s="3"/>
      <c r="C163" s="10" t="s">
        <v>15</v>
      </c>
      <c r="D163" s="9"/>
      <c r="E163" s="9"/>
      <c r="F163" s="9"/>
      <c r="G163" s="8"/>
      <c r="H163" s="5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 x14ac:dyDescent="0.3">
      <c r="A164" s="2"/>
      <c r="B164" s="4" t="s">
        <v>14</v>
      </c>
      <c r="C164" s="6" t="s">
        <v>13</v>
      </c>
      <c r="D164" s="4"/>
      <c r="E164" s="4"/>
      <c r="F164" s="4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 x14ac:dyDescent="0.3">
      <c r="A165" s="2"/>
      <c r="B165" s="3"/>
      <c r="C165" s="10" t="s">
        <v>10</v>
      </c>
      <c r="D165" s="9"/>
      <c r="E165" s="9"/>
      <c r="F165" s="9"/>
      <c r="G165" s="8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 x14ac:dyDescent="0.3">
      <c r="A166" s="2"/>
      <c r="B166" s="4" t="s">
        <v>9</v>
      </c>
      <c r="C166" s="6" t="s">
        <v>8</v>
      </c>
      <c r="D166" s="4"/>
      <c r="E166" s="4"/>
      <c r="F166" s="4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 x14ac:dyDescent="0.3">
      <c r="A167" s="2"/>
      <c r="B167" s="4"/>
      <c r="C167" s="10" t="s">
        <v>7</v>
      </c>
      <c r="D167" s="9"/>
      <c r="E167" s="9"/>
      <c r="F167" s="9"/>
      <c r="G167" s="8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 x14ac:dyDescent="0.3">
      <c r="A168" s="2"/>
      <c r="B168" s="4" t="s">
        <v>6</v>
      </c>
      <c r="C168" s="6" t="s">
        <v>5</v>
      </c>
      <c r="D168" s="4"/>
      <c r="E168" s="4"/>
      <c r="F168" s="7"/>
      <c r="G168" s="3"/>
      <c r="H168" s="5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 x14ac:dyDescent="0.3">
      <c r="A169" s="2"/>
      <c r="B169" s="4" t="s">
        <v>4</v>
      </c>
      <c r="C169" s="6" t="s">
        <v>3</v>
      </c>
      <c r="D169" s="4"/>
      <c r="E169" s="4"/>
      <c r="F169" s="4"/>
      <c r="G169" s="4" t="s">
        <v>2</v>
      </c>
      <c r="H169" s="5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 x14ac:dyDescent="0.3">
      <c r="A170" s="2"/>
      <c r="B170" s="4" t="s">
        <v>1</v>
      </c>
      <c r="C170" s="3" t="s">
        <v>0</v>
      </c>
      <c r="D170" s="3"/>
      <c r="E170" s="3"/>
      <c r="F170" s="3"/>
      <c r="G170" s="3"/>
      <c r="H170" s="5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 x14ac:dyDescent="0.3">
      <c r="A171" s="2"/>
      <c r="B171" s="85" t="s">
        <v>80</v>
      </c>
      <c r="C171" s="81"/>
      <c r="D171" s="81"/>
      <c r="E171" s="81"/>
      <c r="F171" s="81"/>
      <c r="G171" s="81"/>
      <c r="H171" s="8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 x14ac:dyDescent="0.3">
      <c r="A172" s="2"/>
      <c r="B172" s="4" t="s">
        <v>33</v>
      </c>
      <c r="C172" s="4" t="s">
        <v>32</v>
      </c>
      <c r="D172" s="4" t="s">
        <v>31</v>
      </c>
      <c r="E172" s="4" t="s">
        <v>30</v>
      </c>
      <c r="F172" s="4" t="s">
        <v>29</v>
      </c>
      <c r="G172" s="4" t="s">
        <v>28</v>
      </c>
      <c r="H172" s="4" t="s">
        <v>27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 x14ac:dyDescent="0.3">
      <c r="A173" s="2"/>
      <c r="B173" s="4" t="s">
        <v>26</v>
      </c>
      <c r="C173" s="6" t="s">
        <v>25</v>
      </c>
      <c r="D173" s="4"/>
      <c r="E173" s="4"/>
      <c r="F173" s="4"/>
      <c r="G173" s="4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 x14ac:dyDescent="0.3">
      <c r="A174" s="2"/>
      <c r="B174" s="3"/>
      <c r="C174" s="6" t="s">
        <v>24</v>
      </c>
      <c r="D174" s="4" t="s">
        <v>23</v>
      </c>
      <c r="E174" s="4" t="s">
        <v>16</v>
      </c>
      <c r="F174" s="7">
        <v>0.52</v>
      </c>
      <c r="G174" s="5"/>
      <c r="H174" s="5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 x14ac:dyDescent="0.3">
      <c r="A175" s="2"/>
      <c r="B175" s="3"/>
      <c r="C175" s="29" t="s">
        <v>22</v>
      </c>
      <c r="D175" s="4" t="s">
        <v>21</v>
      </c>
      <c r="E175" s="4" t="s">
        <v>16</v>
      </c>
      <c r="F175" s="7">
        <v>0.26</v>
      </c>
      <c r="G175" s="5"/>
      <c r="H175" s="5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 x14ac:dyDescent="0.3">
      <c r="A176" s="2"/>
      <c r="B176" s="3"/>
      <c r="C176" s="6" t="s">
        <v>20</v>
      </c>
      <c r="D176" s="4" t="s">
        <v>19</v>
      </c>
      <c r="E176" s="4" t="s">
        <v>16</v>
      </c>
      <c r="F176" s="7">
        <v>2.5999999999999999E-2</v>
      </c>
      <c r="G176" s="5"/>
      <c r="H176" s="5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 x14ac:dyDescent="0.3">
      <c r="A177" s="2"/>
      <c r="B177" s="3"/>
      <c r="C177" s="6" t="s">
        <v>18</v>
      </c>
      <c r="D177" s="4" t="s">
        <v>17</v>
      </c>
      <c r="E177" s="4" t="s">
        <v>16</v>
      </c>
      <c r="F177" s="7">
        <v>8.9999999999999993E-3</v>
      </c>
      <c r="G177" s="5"/>
      <c r="H177" s="5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 x14ac:dyDescent="0.3">
      <c r="A178" s="2"/>
      <c r="B178" s="3"/>
      <c r="C178" s="10" t="s">
        <v>15</v>
      </c>
      <c r="D178" s="9"/>
      <c r="E178" s="9"/>
      <c r="F178" s="9"/>
      <c r="G178" s="8"/>
      <c r="H178" s="5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 x14ac:dyDescent="0.3">
      <c r="A179" s="2"/>
      <c r="B179" s="4" t="s">
        <v>14</v>
      </c>
      <c r="C179" s="6" t="s">
        <v>13</v>
      </c>
      <c r="D179" s="4"/>
      <c r="E179" s="4"/>
      <c r="F179" s="4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 x14ac:dyDescent="0.3">
      <c r="A180" s="2"/>
      <c r="B180" s="3"/>
      <c r="C180" s="26" t="s">
        <v>79</v>
      </c>
      <c r="D180" s="4"/>
      <c r="E180" s="4" t="s">
        <v>35</v>
      </c>
      <c r="F180" s="7">
        <v>1.7999999999999999E-2</v>
      </c>
      <c r="G180" s="5"/>
      <c r="H180" s="5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 x14ac:dyDescent="0.3">
      <c r="A181" s="2"/>
      <c r="B181" s="3"/>
      <c r="C181" s="6" t="s">
        <v>78</v>
      </c>
      <c r="D181" s="4"/>
      <c r="E181" s="4" t="s">
        <v>38</v>
      </c>
      <c r="F181" s="7">
        <v>0.3</v>
      </c>
      <c r="G181" s="5"/>
      <c r="H181" s="5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 x14ac:dyDescent="0.3">
      <c r="A182" s="2"/>
      <c r="B182" s="3"/>
      <c r="C182" s="6" t="s">
        <v>48</v>
      </c>
      <c r="D182" s="4"/>
      <c r="E182" s="4" t="s">
        <v>47</v>
      </c>
      <c r="F182" s="7">
        <v>0.1</v>
      </c>
      <c r="G182" s="5"/>
      <c r="H182" s="5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 x14ac:dyDescent="0.3">
      <c r="A183" s="2"/>
      <c r="B183" s="3"/>
      <c r="C183" s="10" t="s">
        <v>10</v>
      </c>
      <c r="D183" s="9"/>
      <c r="E183" s="9"/>
      <c r="F183" s="9"/>
      <c r="G183" s="8"/>
      <c r="H183" s="5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 x14ac:dyDescent="0.3">
      <c r="A184" s="2"/>
      <c r="B184" s="4" t="s">
        <v>9</v>
      </c>
      <c r="C184" s="6" t="s">
        <v>8</v>
      </c>
      <c r="D184" s="4"/>
      <c r="E184" s="4"/>
      <c r="F184" s="4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 x14ac:dyDescent="0.3">
      <c r="A185" s="2"/>
      <c r="B185" s="4"/>
      <c r="C185" s="10" t="s">
        <v>7</v>
      </c>
      <c r="D185" s="9"/>
      <c r="E185" s="9"/>
      <c r="F185" s="9"/>
      <c r="G185" s="8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 x14ac:dyDescent="0.3">
      <c r="A186" s="2"/>
      <c r="B186" s="4" t="s">
        <v>6</v>
      </c>
      <c r="C186" s="6" t="s">
        <v>5</v>
      </c>
      <c r="D186" s="4"/>
      <c r="E186" s="4"/>
      <c r="F186" s="7"/>
      <c r="G186" s="3"/>
      <c r="H186" s="5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 x14ac:dyDescent="0.3">
      <c r="A187" s="2"/>
      <c r="B187" s="4" t="s">
        <v>4</v>
      </c>
      <c r="C187" s="6" t="s">
        <v>3</v>
      </c>
      <c r="D187" s="4"/>
      <c r="E187" s="4"/>
      <c r="F187" s="4"/>
      <c r="G187" s="4" t="s">
        <v>2</v>
      </c>
      <c r="H187" s="5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 x14ac:dyDescent="0.3">
      <c r="A188" s="2"/>
      <c r="B188" s="4" t="s">
        <v>1</v>
      </c>
      <c r="C188" s="3" t="s">
        <v>0</v>
      </c>
      <c r="D188" s="3"/>
      <c r="E188" s="3"/>
      <c r="F188" s="3"/>
      <c r="G188" s="3"/>
      <c r="H188" s="5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 x14ac:dyDescent="0.3">
      <c r="A189" s="2"/>
      <c r="B189" s="85" t="s">
        <v>77</v>
      </c>
      <c r="C189" s="81"/>
      <c r="D189" s="81"/>
      <c r="E189" s="81"/>
      <c r="F189" s="81"/>
      <c r="G189" s="81"/>
      <c r="H189" s="8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 x14ac:dyDescent="0.3">
      <c r="A190" s="2"/>
      <c r="B190" s="4" t="s">
        <v>33</v>
      </c>
      <c r="C190" s="4" t="s">
        <v>32</v>
      </c>
      <c r="D190" s="4" t="s">
        <v>31</v>
      </c>
      <c r="E190" s="4" t="s">
        <v>30</v>
      </c>
      <c r="F190" s="4" t="s">
        <v>29</v>
      </c>
      <c r="G190" s="4" t="s">
        <v>28</v>
      </c>
      <c r="H190" s="4" t="s">
        <v>27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 x14ac:dyDescent="0.3">
      <c r="A191" s="2"/>
      <c r="B191" s="4" t="s">
        <v>26</v>
      </c>
      <c r="C191" s="6" t="s">
        <v>25</v>
      </c>
      <c r="D191" s="4"/>
      <c r="E191" s="4"/>
      <c r="F191" s="4"/>
      <c r="G191" s="4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 x14ac:dyDescent="0.3">
      <c r="A192" s="2"/>
      <c r="B192" s="3"/>
      <c r="C192" s="6" t="s">
        <v>24</v>
      </c>
      <c r="D192" s="4" t="s">
        <v>23</v>
      </c>
      <c r="E192" s="4" t="s">
        <v>16</v>
      </c>
      <c r="F192" s="7">
        <v>0.66</v>
      </c>
      <c r="G192" s="5"/>
      <c r="H192" s="5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 x14ac:dyDescent="0.3">
      <c r="A193" s="2"/>
      <c r="B193" s="3"/>
      <c r="C193" s="6" t="s">
        <v>22</v>
      </c>
      <c r="D193" s="4" t="s">
        <v>21</v>
      </c>
      <c r="E193" s="4" t="s">
        <v>16</v>
      </c>
      <c r="F193" s="7">
        <v>0.33</v>
      </c>
      <c r="G193" s="5"/>
      <c r="H193" s="5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 x14ac:dyDescent="0.3">
      <c r="A194" s="2"/>
      <c r="B194" s="3"/>
      <c r="C194" s="6" t="s">
        <v>20</v>
      </c>
      <c r="D194" s="4" t="s">
        <v>19</v>
      </c>
      <c r="E194" s="4" t="s">
        <v>16</v>
      </c>
      <c r="F194" s="7">
        <v>3.3000000000000002E-2</v>
      </c>
      <c r="G194" s="5"/>
      <c r="H194" s="5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 x14ac:dyDescent="0.3">
      <c r="A195" s="2"/>
      <c r="B195" s="3"/>
      <c r="C195" s="6" t="s">
        <v>18</v>
      </c>
      <c r="D195" s="4" t="s">
        <v>17</v>
      </c>
      <c r="E195" s="4" t="s">
        <v>16</v>
      </c>
      <c r="F195" s="7">
        <v>1.0999999999999999E-2</v>
      </c>
      <c r="G195" s="5"/>
      <c r="H195" s="5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 x14ac:dyDescent="0.3">
      <c r="A196" s="2"/>
      <c r="B196" s="3"/>
      <c r="C196" s="10" t="s">
        <v>15</v>
      </c>
      <c r="D196" s="9"/>
      <c r="E196" s="9"/>
      <c r="F196" s="9"/>
      <c r="G196" s="8"/>
      <c r="H196" s="5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 x14ac:dyDescent="0.3">
      <c r="A197" s="2"/>
      <c r="B197" s="4" t="s">
        <v>14</v>
      </c>
      <c r="C197" s="6" t="s">
        <v>13</v>
      </c>
      <c r="D197" s="4"/>
      <c r="E197" s="4"/>
      <c r="F197" s="4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 x14ac:dyDescent="0.3">
      <c r="A198" s="2"/>
      <c r="B198" s="3"/>
      <c r="C198" s="29" t="s">
        <v>64</v>
      </c>
      <c r="D198" s="4"/>
      <c r="E198" s="4" t="s">
        <v>38</v>
      </c>
      <c r="F198" s="7">
        <v>0.4</v>
      </c>
      <c r="G198" s="5"/>
      <c r="H198" s="5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 x14ac:dyDescent="0.3">
      <c r="A199" s="2"/>
      <c r="B199" s="3"/>
      <c r="C199" s="6" t="s">
        <v>48</v>
      </c>
      <c r="D199" s="4"/>
      <c r="E199" s="4" t="s">
        <v>47</v>
      </c>
      <c r="F199" s="7">
        <v>0.2</v>
      </c>
      <c r="G199" s="5"/>
      <c r="H199" s="5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 x14ac:dyDescent="0.3">
      <c r="A200" s="2"/>
      <c r="B200" s="3"/>
      <c r="C200" s="26" t="s">
        <v>76</v>
      </c>
      <c r="D200" s="4"/>
      <c r="E200" s="4" t="s">
        <v>35</v>
      </c>
      <c r="F200" s="7">
        <v>6.0000000000000001E-3</v>
      </c>
      <c r="G200" s="5"/>
      <c r="H200" s="5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 x14ac:dyDescent="0.3">
      <c r="A201" s="2"/>
      <c r="B201" s="3"/>
      <c r="C201" s="15" t="s">
        <v>62</v>
      </c>
      <c r="D201" s="4"/>
      <c r="E201" s="4" t="s">
        <v>11</v>
      </c>
      <c r="F201" s="7">
        <v>0.127</v>
      </c>
      <c r="G201" s="5"/>
      <c r="H201" s="5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 x14ac:dyDescent="0.3">
      <c r="A202" s="2"/>
      <c r="B202" s="3"/>
      <c r="C202" s="26" t="s">
        <v>61</v>
      </c>
      <c r="D202" s="4"/>
      <c r="E202" s="4" t="s">
        <v>60</v>
      </c>
      <c r="F202" s="7">
        <v>0.65</v>
      </c>
      <c r="G202" s="5"/>
      <c r="H202" s="5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 x14ac:dyDescent="0.3">
      <c r="A203" s="2"/>
      <c r="B203" s="3"/>
      <c r="C203" s="10" t="s">
        <v>10</v>
      </c>
      <c r="D203" s="9"/>
      <c r="E203" s="9"/>
      <c r="F203" s="9"/>
      <c r="G203" s="8"/>
      <c r="H203" s="5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 x14ac:dyDescent="0.3">
      <c r="A204" s="2"/>
      <c r="B204" s="4" t="s">
        <v>9</v>
      </c>
      <c r="C204" s="6" t="s">
        <v>8</v>
      </c>
      <c r="D204" s="4"/>
      <c r="E204" s="4"/>
      <c r="F204" s="4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 x14ac:dyDescent="0.3">
      <c r="A205" s="2"/>
      <c r="B205" s="4"/>
      <c r="C205" s="10" t="s">
        <v>7</v>
      </c>
      <c r="D205" s="9"/>
      <c r="E205" s="9"/>
      <c r="F205" s="9"/>
      <c r="G205" s="8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 x14ac:dyDescent="0.3">
      <c r="A206" s="2"/>
      <c r="B206" s="4" t="s">
        <v>6</v>
      </c>
      <c r="C206" s="6" t="s">
        <v>5</v>
      </c>
      <c r="D206" s="4"/>
      <c r="E206" s="4"/>
      <c r="F206" s="7"/>
      <c r="G206" s="3"/>
      <c r="H206" s="5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 x14ac:dyDescent="0.3">
      <c r="A207" s="2"/>
      <c r="B207" s="4" t="s">
        <v>4</v>
      </c>
      <c r="C207" s="6" t="s">
        <v>3</v>
      </c>
      <c r="D207" s="4"/>
      <c r="E207" s="4"/>
      <c r="F207" s="4"/>
      <c r="G207" s="4" t="s">
        <v>2</v>
      </c>
      <c r="H207" s="5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 x14ac:dyDescent="0.3">
      <c r="A208" s="2"/>
      <c r="B208" s="4" t="s">
        <v>1</v>
      </c>
      <c r="C208" s="3" t="s">
        <v>0</v>
      </c>
      <c r="D208" s="3"/>
      <c r="E208" s="3"/>
      <c r="F208" s="3"/>
      <c r="G208" s="3"/>
      <c r="H208" s="5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 x14ac:dyDescent="0.3">
      <c r="A209" s="2"/>
      <c r="B209" s="85" t="s">
        <v>75</v>
      </c>
      <c r="C209" s="81"/>
      <c r="D209" s="81"/>
      <c r="E209" s="81"/>
      <c r="F209" s="81"/>
      <c r="G209" s="81"/>
      <c r="H209" s="8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 x14ac:dyDescent="0.3">
      <c r="A210" s="2"/>
      <c r="B210" s="4" t="s">
        <v>33</v>
      </c>
      <c r="C210" s="4" t="s">
        <v>32</v>
      </c>
      <c r="D210" s="4" t="s">
        <v>31</v>
      </c>
      <c r="E210" s="4" t="s">
        <v>30</v>
      </c>
      <c r="F210" s="4" t="s">
        <v>29</v>
      </c>
      <c r="G210" s="4" t="s">
        <v>28</v>
      </c>
      <c r="H210" s="4" t="s">
        <v>27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 x14ac:dyDescent="0.3">
      <c r="A211" s="2"/>
      <c r="B211" s="4" t="s">
        <v>26</v>
      </c>
      <c r="C211" s="6" t="s">
        <v>25</v>
      </c>
      <c r="D211" s="4"/>
      <c r="E211" s="4"/>
      <c r="F211" s="4"/>
      <c r="G211" s="4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 x14ac:dyDescent="0.3">
      <c r="A212" s="2"/>
      <c r="B212" s="3"/>
      <c r="C212" s="6" t="s">
        <v>24</v>
      </c>
      <c r="D212" s="4" t="s">
        <v>23</v>
      </c>
      <c r="E212" s="4" t="s">
        <v>16</v>
      </c>
      <c r="F212" s="7">
        <v>0.66</v>
      </c>
      <c r="G212" s="5"/>
      <c r="H212" s="5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 x14ac:dyDescent="0.3">
      <c r="A213" s="2"/>
      <c r="B213" s="3"/>
      <c r="C213" s="6" t="s">
        <v>22</v>
      </c>
      <c r="D213" s="4" t="s">
        <v>21</v>
      </c>
      <c r="E213" s="4" t="s">
        <v>16</v>
      </c>
      <c r="F213" s="7">
        <v>0.33</v>
      </c>
      <c r="G213" s="5"/>
      <c r="H213" s="5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 x14ac:dyDescent="0.3">
      <c r="A214" s="2"/>
      <c r="B214" s="3"/>
      <c r="C214" s="6" t="s">
        <v>20</v>
      </c>
      <c r="D214" s="4" t="s">
        <v>19</v>
      </c>
      <c r="E214" s="4" t="s">
        <v>16</v>
      </c>
      <c r="F214" s="7">
        <v>3.3000000000000002E-2</v>
      </c>
      <c r="G214" s="5"/>
      <c r="H214" s="5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 x14ac:dyDescent="0.3">
      <c r="A215" s="2"/>
      <c r="B215" s="3"/>
      <c r="C215" s="6" t="s">
        <v>18</v>
      </c>
      <c r="D215" s="4" t="s">
        <v>17</v>
      </c>
      <c r="E215" s="4" t="s">
        <v>16</v>
      </c>
      <c r="F215" s="7">
        <v>1.0999999999999999E-2</v>
      </c>
      <c r="G215" s="5"/>
      <c r="H215" s="5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 x14ac:dyDescent="0.3">
      <c r="A216" s="2"/>
      <c r="B216" s="3"/>
      <c r="C216" s="10" t="s">
        <v>15</v>
      </c>
      <c r="D216" s="9"/>
      <c r="E216" s="9"/>
      <c r="F216" s="9"/>
      <c r="G216" s="8"/>
      <c r="H216" s="5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 x14ac:dyDescent="0.3">
      <c r="A217" s="2"/>
      <c r="B217" s="4" t="s">
        <v>14</v>
      </c>
      <c r="C217" s="6" t="s">
        <v>13</v>
      </c>
      <c r="D217" s="4"/>
      <c r="E217" s="4"/>
      <c r="F217" s="4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 x14ac:dyDescent="0.3">
      <c r="A218" s="2"/>
      <c r="B218" s="3"/>
      <c r="C218" s="29" t="s">
        <v>64</v>
      </c>
      <c r="D218" s="4"/>
      <c r="E218" s="4" t="s">
        <v>38</v>
      </c>
      <c r="F218" s="7">
        <v>0.4</v>
      </c>
      <c r="G218" s="5"/>
      <c r="H218" s="5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 x14ac:dyDescent="0.3">
      <c r="A219" s="2"/>
      <c r="B219" s="3"/>
      <c r="C219" s="6" t="s">
        <v>48</v>
      </c>
      <c r="D219" s="4"/>
      <c r="E219" s="4" t="s">
        <v>47</v>
      </c>
      <c r="F219" s="7">
        <v>0.2</v>
      </c>
      <c r="G219" s="5"/>
      <c r="H219" s="5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 x14ac:dyDescent="0.3">
      <c r="A220" s="2"/>
      <c r="B220" s="3"/>
      <c r="C220" s="29" t="s">
        <v>63</v>
      </c>
      <c r="D220" s="4"/>
      <c r="E220" s="4" t="s">
        <v>35</v>
      </c>
      <c r="F220" s="7">
        <v>5.0000000000000001E-3</v>
      </c>
      <c r="G220" s="5"/>
      <c r="H220" s="5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 x14ac:dyDescent="0.3">
      <c r="A221" s="2"/>
      <c r="B221" s="3"/>
      <c r="C221" s="15" t="s">
        <v>62</v>
      </c>
      <c r="D221" s="4"/>
      <c r="E221" s="4" t="s">
        <v>11</v>
      </c>
      <c r="F221" s="7">
        <v>0.127</v>
      </c>
      <c r="G221" s="5"/>
      <c r="H221" s="5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 x14ac:dyDescent="0.3">
      <c r="A222" s="2"/>
      <c r="B222" s="3"/>
      <c r="C222" s="26" t="s">
        <v>61</v>
      </c>
      <c r="D222" s="4"/>
      <c r="E222" s="4" t="s">
        <v>60</v>
      </c>
      <c r="F222" s="7">
        <v>1.95</v>
      </c>
      <c r="G222" s="5"/>
      <c r="H222" s="5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 x14ac:dyDescent="0.3">
      <c r="A223" s="2"/>
      <c r="B223" s="3"/>
      <c r="C223" s="10" t="s">
        <v>10</v>
      </c>
      <c r="D223" s="9"/>
      <c r="E223" s="9"/>
      <c r="F223" s="9"/>
      <c r="G223" s="8"/>
      <c r="H223" s="5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 x14ac:dyDescent="0.3">
      <c r="A224" s="2"/>
      <c r="B224" s="4" t="s">
        <v>9</v>
      </c>
      <c r="C224" s="6" t="s">
        <v>8</v>
      </c>
      <c r="D224" s="4"/>
      <c r="E224" s="4"/>
      <c r="F224" s="4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 x14ac:dyDescent="0.3">
      <c r="A225" s="2"/>
      <c r="B225" s="4"/>
      <c r="C225" s="10" t="s">
        <v>7</v>
      </c>
      <c r="D225" s="9"/>
      <c r="E225" s="9"/>
      <c r="F225" s="9"/>
      <c r="G225" s="8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 x14ac:dyDescent="0.3">
      <c r="A226" s="2"/>
      <c r="B226" s="4" t="s">
        <v>6</v>
      </c>
      <c r="C226" s="6" t="s">
        <v>5</v>
      </c>
      <c r="D226" s="4"/>
      <c r="E226" s="4"/>
      <c r="F226" s="7"/>
      <c r="G226" s="3"/>
      <c r="H226" s="5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 x14ac:dyDescent="0.3">
      <c r="A227" s="2"/>
      <c r="B227" s="4" t="s">
        <v>4</v>
      </c>
      <c r="C227" s="6" t="s">
        <v>3</v>
      </c>
      <c r="D227" s="4"/>
      <c r="E227" s="4"/>
      <c r="F227" s="4"/>
      <c r="G227" s="4" t="s">
        <v>2</v>
      </c>
      <c r="H227" s="5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 x14ac:dyDescent="0.3">
      <c r="A228" s="2"/>
      <c r="B228" s="4" t="s">
        <v>1</v>
      </c>
      <c r="C228" s="3" t="s">
        <v>0</v>
      </c>
      <c r="D228" s="3"/>
      <c r="E228" s="3"/>
      <c r="F228" s="3"/>
      <c r="G228" s="3"/>
      <c r="H228" s="5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 x14ac:dyDescent="0.3">
      <c r="A229" s="2"/>
      <c r="B229" s="85" t="s">
        <v>74</v>
      </c>
      <c r="C229" s="81"/>
      <c r="D229" s="81"/>
      <c r="E229" s="81"/>
      <c r="F229" s="81"/>
      <c r="G229" s="81"/>
      <c r="H229" s="8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 x14ac:dyDescent="0.3">
      <c r="A230" s="2"/>
      <c r="B230" s="4" t="s">
        <v>33</v>
      </c>
      <c r="C230" s="4" t="s">
        <v>32</v>
      </c>
      <c r="D230" s="4" t="s">
        <v>31</v>
      </c>
      <c r="E230" s="4" t="s">
        <v>30</v>
      </c>
      <c r="F230" s="4" t="s">
        <v>29</v>
      </c>
      <c r="G230" s="4" t="s">
        <v>28</v>
      </c>
      <c r="H230" s="4" t="s">
        <v>27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 x14ac:dyDescent="0.3">
      <c r="A231" s="2"/>
      <c r="B231" s="4" t="s">
        <v>26</v>
      </c>
      <c r="C231" s="6" t="s">
        <v>25</v>
      </c>
      <c r="D231" s="4"/>
      <c r="E231" s="4"/>
      <c r="F231" s="4"/>
      <c r="G231" s="4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 x14ac:dyDescent="0.3">
      <c r="A232" s="2"/>
      <c r="B232" s="3"/>
      <c r="C232" s="6" t="s">
        <v>24</v>
      </c>
      <c r="D232" s="4" t="s">
        <v>23</v>
      </c>
      <c r="E232" s="4" t="s">
        <v>16</v>
      </c>
      <c r="F232" s="7">
        <v>0.66</v>
      </c>
      <c r="G232" s="5"/>
      <c r="H232" s="5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 x14ac:dyDescent="0.3">
      <c r="A233" s="2"/>
      <c r="B233" s="3"/>
      <c r="C233" s="6" t="s">
        <v>22</v>
      </c>
      <c r="D233" s="4" t="s">
        <v>21</v>
      </c>
      <c r="E233" s="4" t="s">
        <v>16</v>
      </c>
      <c r="F233" s="7">
        <v>0.33</v>
      </c>
      <c r="G233" s="5"/>
      <c r="H233" s="5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 x14ac:dyDescent="0.3">
      <c r="A234" s="2"/>
      <c r="B234" s="3"/>
      <c r="C234" s="6" t="s">
        <v>20</v>
      </c>
      <c r="D234" s="4" t="s">
        <v>19</v>
      </c>
      <c r="E234" s="4" t="s">
        <v>16</v>
      </c>
      <c r="F234" s="7">
        <v>3.3000000000000002E-2</v>
      </c>
      <c r="G234" s="5"/>
      <c r="H234" s="5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 x14ac:dyDescent="0.3">
      <c r="A235" s="2"/>
      <c r="B235" s="3"/>
      <c r="C235" s="6" t="s">
        <v>18</v>
      </c>
      <c r="D235" s="4" t="s">
        <v>17</v>
      </c>
      <c r="E235" s="4" t="s">
        <v>16</v>
      </c>
      <c r="F235" s="7">
        <v>1.0999999999999999E-2</v>
      </c>
      <c r="G235" s="5"/>
      <c r="H235" s="5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 x14ac:dyDescent="0.3">
      <c r="A236" s="2"/>
      <c r="B236" s="3"/>
      <c r="C236" s="10" t="s">
        <v>15</v>
      </c>
      <c r="D236" s="9"/>
      <c r="E236" s="9"/>
      <c r="F236" s="9"/>
      <c r="G236" s="8"/>
      <c r="H236" s="5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 x14ac:dyDescent="0.3">
      <c r="A237" s="2"/>
      <c r="B237" s="4" t="s">
        <v>14</v>
      </c>
      <c r="C237" s="6" t="s">
        <v>13</v>
      </c>
      <c r="D237" s="4"/>
      <c r="E237" s="4"/>
      <c r="F237" s="4"/>
      <c r="G237" s="5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 x14ac:dyDescent="0.3">
      <c r="A238" s="2"/>
      <c r="B238" s="3"/>
      <c r="C238" s="29" t="s">
        <v>64</v>
      </c>
      <c r="D238" s="4"/>
      <c r="E238" s="4" t="s">
        <v>38</v>
      </c>
      <c r="F238" s="7">
        <v>0.4</v>
      </c>
      <c r="G238" s="5"/>
      <c r="H238" s="5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 x14ac:dyDescent="0.3">
      <c r="A239" s="2"/>
      <c r="B239" s="3"/>
      <c r="C239" s="6" t="s">
        <v>48</v>
      </c>
      <c r="D239" s="4"/>
      <c r="E239" s="4" t="s">
        <v>47</v>
      </c>
      <c r="F239" s="7">
        <v>0.2</v>
      </c>
      <c r="G239" s="5"/>
      <c r="H239" s="5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 x14ac:dyDescent="0.3">
      <c r="A240" s="2"/>
      <c r="B240" s="3"/>
      <c r="C240" s="29" t="s">
        <v>63</v>
      </c>
      <c r="D240" s="4"/>
      <c r="E240" s="4" t="s">
        <v>35</v>
      </c>
      <c r="F240" s="7">
        <v>5.0000000000000001E-3</v>
      </c>
      <c r="G240" s="5"/>
      <c r="H240" s="5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 x14ac:dyDescent="0.3">
      <c r="A241" s="2"/>
      <c r="B241" s="3"/>
      <c r="C241" s="15" t="s">
        <v>62</v>
      </c>
      <c r="D241" s="4"/>
      <c r="E241" s="4" t="s">
        <v>11</v>
      </c>
      <c r="F241" s="7">
        <v>0.127</v>
      </c>
      <c r="G241" s="5"/>
      <c r="H241" s="5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 x14ac:dyDescent="0.3">
      <c r="A242" s="2"/>
      <c r="B242" s="3"/>
      <c r="C242" s="26" t="s">
        <v>61</v>
      </c>
      <c r="D242" s="4"/>
      <c r="E242" s="4" t="s">
        <v>60</v>
      </c>
      <c r="F242" s="7">
        <v>0.65</v>
      </c>
      <c r="G242" s="5"/>
      <c r="H242" s="5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 x14ac:dyDescent="0.3">
      <c r="A243" s="2"/>
      <c r="B243" s="3"/>
      <c r="C243" s="10" t="s">
        <v>10</v>
      </c>
      <c r="D243" s="9"/>
      <c r="E243" s="9"/>
      <c r="F243" s="9"/>
      <c r="G243" s="8"/>
      <c r="H243" s="5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 x14ac:dyDescent="0.3">
      <c r="A244" s="2"/>
      <c r="B244" s="4" t="s">
        <v>9</v>
      </c>
      <c r="C244" s="6" t="s">
        <v>8</v>
      </c>
      <c r="D244" s="4"/>
      <c r="E244" s="4"/>
      <c r="F244" s="4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 x14ac:dyDescent="0.3">
      <c r="A245" s="2"/>
      <c r="B245" s="4"/>
      <c r="C245" s="10" t="s">
        <v>7</v>
      </c>
      <c r="D245" s="9"/>
      <c r="E245" s="9"/>
      <c r="F245" s="9"/>
      <c r="G245" s="8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 x14ac:dyDescent="0.3">
      <c r="A246" s="2"/>
      <c r="B246" s="4" t="s">
        <v>6</v>
      </c>
      <c r="C246" s="6" t="s">
        <v>5</v>
      </c>
      <c r="D246" s="4"/>
      <c r="E246" s="4"/>
      <c r="F246" s="7"/>
      <c r="G246" s="3"/>
      <c r="H246" s="5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 x14ac:dyDescent="0.3">
      <c r="A247" s="2"/>
      <c r="B247" s="4" t="s">
        <v>4</v>
      </c>
      <c r="C247" s="6" t="s">
        <v>3</v>
      </c>
      <c r="D247" s="4"/>
      <c r="E247" s="4"/>
      <c r="F247" s="4"/>
      <c r="G247" s="4" t="s">
        <v>2</v>
      </c>
      <c r="H247" s="5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 x14ac:dyDescent="0.3">
      <c r="A248" s="2"/>
      <c r="B248" s="4" t="s">
        <v>1</v>
      </c>
      <c r="C248" s="3" t="s">
        <v>0</v>
      </c>
      <c r="D248" s="3"/>
      <c r="E248" s="3"/>
      <c r="F248" s="3"/>
      <c r="G248" s="3"/>
      <c r="H248" s="5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 x14ac:dyDescent="0.3">
      <c r="A249" s="2"/>
      <c r="B249" s="101" t="s">
        <v>73</v>
      </c>
      <c r="C249" s="82"/>
      <c r="D249" s="82"/>
      <c r="E249" s="82"/>
      <c r="F249" s="82"/>
      <c r="G249" s="82"/>
      <c r="H249" s="9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 x14ac:dyDescent="0.3">
      <c r="A250" s="2"/>
      <c r="B250" s="98"/>
      <c r="C250" s="99"/>
      <c r="D250" s="99"/>
      <c r="E250" s="99"/>
      <c r="F250" s="99"/>
      <c r="G250" s="99"/>
      <c r="H250" s="100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 x14ac:dyDescent="0.3">
      <c r="A251" s="2"/>
      <c r="B251" s="4" t="s">
        <v>33</v>
      </c>
      <c r="C251" s="4" t="s">
        <v>32</v>
      </c>
      <c r="D251" s="4" t="s">
        <v>31</v>
      </c>
      <c r="E251" s="4" t="s">
        <v>30</v>
      </c>
      <c r="F251" s="4" t="s">
        <v>29</v>
      </c>
      <c r="G251" s="4" t="s">
        <v>28</v>
      </c>
      <c r="H251" s="4" t="s">
        <v>27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 x14ac:dyDescent="0.3">
      <c r="A252" s="2"/>
      <c r="B252" s="4" t="s">
        <v>26</v>
      </c>
      <c r="C252" s="6" t="s">
        <v>25</v>
      </c>
      <c r="D252" s="4"/>
      <c r="E252" s="4"/>
      <c r="F252" s="4"/>
      <c r="G252" s="4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 x14ac:dyDescent="0.3">
      <c r="A253" s="2"/>
      <c r="B253" s="3"/>
      <c r="C253" s="6" t="s">
        <v>24</v>
      </c>
      <c r="D253" s="4" t="s">
        <v>23</v>
      </c>
      <c r="E253" s="4" t="s">
        <v>16</v>
      </c>
      <c r="F253" s="7">
        <v>0.06</v>
      </c>
      <c r="G253" s="5"/>
      <c r="H253" s="5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 x14ac:dyDescent="0.3">
      <c r="A254" s="2"/>
      <c r="B254" s="3"/>
      <c r="C254" s="6" t="s">
        <v>18</v>
      </c>
      <c r="D254" s="4" t="s">
        <v>17</v>
      </c>
      <c r="E254" s="4" t="s">
        <v>16</v>
      </c>
      <c r="F254" s="7">
        <v>6.0000000000000001E-3</v>
      </c>
      <c r="G254" s="5"/>
      <c r="H254" s="5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 x14ac:dyDescent="0.3">
      <c r="A255" s="2"/>
      <c r="B255" s="3"/>
      <c r="C255" s="10" t="s">
        <v>15</v>
      </c>
      <c r="D255" s="9"/>
      <c r="E255" s="9"/>
      <c r="F255" s="9"/>
      <c r="G255" s="8"/>
      <c r="H255" s="5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 x14ac:dyDescent="0.3">
      <c r="A256" s="2"/>
      <c r="B256" s="4" t="s">
        <v>14</v>
      </c>
      <c r="C256" s="6" t="s">
        <v>13</v>
      </c>
      <c r="D256" s="4"/>
      <c r="E256" s="4"/>
      <c r="F256" s="4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 x14ac:dyDescent="0.3">
      <c r="A257" s="2"/>
      <c r="B257" s="3"/>
      <c r="C257" s="10" t="s">
        <v>10</v>
      </c>
      <c r="D257" s="9"/>
      <c r="E257" s="9"/>
      <c r="F257" s="9"/>
      <c r="G257" s="8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 x14ac:dyDescent="0.3">
      <c r="A258" s="2"/>
      <c r="B258" s="4" t="s">
        <v>9</v>
      </c>
      <c r="C258" s="6" t="s">
        <v>8</v>
      </c>
      <c r="D258" s="4"/>
      <c r="E258" s="4"/>
      <c r="F258" s="4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 x14ac:dyDescent="0.3">
      <c r="A259" s="2"/>
      <c r="B259" s="4"/>
      <c r="C259" s="10" t="s">
        <v>7</v>
      </c>
      <c r="D259" s="9"/>
      <c r="E259" s="9"/>
      <c r="F259" s="9"/>
      <c r="G259" s="8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 x14ac:dyDescent="0.3">
      <c r="A260" s="2"/>
      <c r="B260" s="4" t="s">
        <v>6</v>
      </c>
      <c r="C260" s="6" t="s">
        <v>5</v>
      </c>
      <c r="D260" s="4"/>
      <c r="E260" s="4"/>
      <c r="F260" s="7"/>
      <c r="G260" s="3"/>
      <c r="H260" s="5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 x14ac:dyDescent="0.3">
      <c r="A261" s="2"/>
      <c r="B261" s="4" t="s">
        <v>4</v>
      </c>
      <c r="C261" s="6" t="s">
        <v>3</v>
      </c>
      <c r="D261" s="4"/>
      <c r="E261" s="4"/>
      <c r="F261" s="4"/>
      <c r="G261" s="4" t="s">
        <v>2</v>
      </c>
      <c r="H261" s="5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 x14ac:dyDescent="0.3">
      <c r="A262" s="2"/>
      <c r="B262" s="4" t="s">
        <v>1</v>
      </c>
      <c r="C262" s="3" t="s">
        <v>0</v>
      </c>
      <c r="D262" s="3"/>
      <c r="E262" s="3"/>
      <c r="F262" s="3"/>
      <c r="G262" s="3"/>
      <c r="H262" s="5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 x14ac:dyDescent="0.3">
      <c r="A263" s="2"/>
      <c r="B263" s="101" t="s">
        <v>72</v>
      </c>
      <c r="C263" s="102"/>
      <c r="D263" s="102"/>
      <c r="E263" s="102"/>
      <c r="F263" s="102"/>
      <c r="G263" s="102"/>
      <c r="H263" s="10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 x14ac:dyDescent="0.3">
      <c r="A264" s="2"/>
      <c r="B264" s="104"/>
      <c r="C264" s="105"/>
      <c r="D264" s="105"/>
      <c r="E264" s="105"/>
      <c r="F264" s="105"/>
      <c r="G264" s="105"/>
      <c r="H264" s="10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 x14ac:dyDescent="0.3">
      <c r="A265" s="2"/>
      <c r="B265" s="4" t="s">
        <v>33</v>
      </c>
      <c r="C265" s="4" t="s">
        <v>32</v>
      </c>
      <c r="D265" s="4" t="s">
        <v>31</v>
      </c>
      <c r="E265" s="4" t="s">
        <v>30</v>
      </c>
      <c r="F265" s="4" t="s">
        <v>29</v>
      </c>
      <c r="G265" s="4" t="s">
        <v>28</v>
      </c>
      <c r="H265" s="4" t="s">
        <v>27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 x14ac:dyDescent="0.3">
      <c r="A266" s="2"/>
      <c r="B266" s="4" t="s">
        <v>26</v>
      </c>
      <c r="C266" s="3" t="s">
        <v>25</v>
      </c>
      <c r="D266" s="3"/>
      <c r="E266" s="3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 x14ac:dyDescent="0.3">
      <c r="A267" s="2"/>
      <c r="B267" s="3"/>
      <c r="C267" s="3" t="s">
        <v>24</v>
      </c>
      <c r="D267" s="4" t="s">
        <v>23</v>
      </c>
      <c r="E267" s="4" t="s">
        <v>16</v>
      </c>
      <c r="F267" s="31">
        <v>1.6000000000000001E-3</v>
      </c>
      <c r="G267" s="5"/>
      <c r="H267" s="5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 x14ac:dyDescent="0.3">
      <c r="A268" s="2"/>
      <c r="B268" s="3"/>
      <c r="C268" s="3" t="s">
        <v>71</v>
      </c>
      <c r="D268" s="4" t="s">
        <v>21</v>
      </c>
      <c r="E268" s="4" t="s">
        <v>16</v>
      </c>
      <c r="F268" s="31">
        <v>1.6000000000000001E-3</v>
      </c>
      <c r="G268" s="5"/>
      <c r="H268" s="5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 x14ac:dyDescent="0.3">
      <c r="A269" s="2"/>
      <c r="B269" s="3"/>
      <c r="C269" s="3" t="s">
        <v>20</v>
      </c>
      <c r="D269" s="4" t="s">
        <v>19</v>
      </c>
      <c r="E269" s="4" t="s">
        <v>16</v>
      </c>
      <c r="F269" s="31">
        <v>1.6000000000000001E-4</v>
      </c>
      <c r="G269" s="5"/>
      <c r="H269" s="5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 x14ac:dyDescent="0.3">
      <c r="A270" s="2"/>
      <c r="B270" s="3"/>
      <c r="C270" s="3" t="s">
        <v>18</v>
      </c>
      <c r="D270" s="4" t="s">
        <v>17</v>
      </c>
      <c r="E270" s="4" t="s">
        <v>16</v>
      </c>
      <c r="F270" s="31">
        <v>1.6000000000000001E-4</v>
      </c>
      <c r="G270" s="5"/>
      <c r="H270" s="5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 x14ac:dyDescent="0.3">
      <c r="A271" s="2"/>
      <c r="B271" s="3"/>
      <c r="C271" s="10" t="s">
        <v>15</v>
      </c>
      <c r="D271" s="9"/>
      <c r="E271" s="9"/>
      <c r="F271" s="9"/>
      <c r="G271" s="8"/>
      <c r="H271" s="5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 x14ac:dyDescent="0.3">
      <c r="A272" s="2"/>
      <c r="B272" s="4" t="s">
        <v>14</v>
      </c>
      <c r="C272" s="3" t="s">
        <v>13</v>
      </c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 x14ac:dyDescent="0.3">
      <c r="A273" s="2"/>
      <c r="B273" s="3"/>
      <c r="C273" s="26" t="s">
        <v>70</v>
      </c>
      <c r="D273" s="3"/>
      <c r="E273" s="4" t="s">
        <v>38</v>
      </c>
      <c r="F273" s="32">
        <v>1</v>
      </c>
      <c r="G273" s="5"/>
      <c r="H273" s="5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 x14ac:dyDescent="0.3">
      <c r="A274" s="2"/>
      <c r="B274" s="3"/>
      <c r="C274" s="26" t="s">
        <v>69</v>
      </c>
      <c r="D274" s="3"/>
      <c r="E274" s="4" t="s">
        <v>38</v>
      </c>
      <c r="F274" s="7">
        <v>2.8000000000000001E-2</v>
      </c>
      <c r="G274" s="5"/>
      <c r="H274" s="5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 x14ac:dyDescent="0.3">
      <c r="A275" s="2"/>
      <c r="B275" s="3"/>
      <c r="C275" s="10" t="s">
        <v>10</v>
      </c>
      <c r="D275" s="9"/>
      <c r="E275" s="9"/>
      <c r="F275" s="9"/>
      <c r="G275" s="8"/>
      <c r="H275" s="5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 x14ac:dyDescent="0.3">
      <c r="A276" s="2"/>
      <c r="B276" s="4" t="s">
        <v>9</v>
      </c>
      <c r="C276" s="3" t="s">
        <v>8</v>
      </c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 x14ac:dyDescent="0.3">
      <c r="A277" s="2"/>
      <c r="B277" s="3"/>
      <c r="C277" s="3" t="s">
        <v>68</v>
      </c>
      <c r="D277" s="3"/>
      <c r="E277" s="4" t="s">
        <v>52</v>
      </c>
      <c r="F277" s="7">
        <v>0.04</v>
      </c>
      <c r="G277" s="5"/>
      <c r="H277" s="5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 x14ac:dyDescent="0.3">
      <c r="A278" s="2"/>
      <c r="B278" s="3"/>
      <c r="C278" s="3" t="s">
        <v>67</v>
      </c>
      <c r="D278" s="3"/>
      <c r="E278" s="4" t="s">
        <v>66</v>
      </c>
      <c r="F278" s="7">
        <v>0.04</v>
      </c>
      <c r="G278" s="5"/>
      <c r="H278" s="5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 x14ac:dyDescent="0.3">
      <c r="A279" s="2"/>
      <c r="B279" s="3"/>
      <c r="C279" s="10" t="s">
        <v>7</v>
      </c>
      <c r="D279" s="9"/>
      <c r="E279" s="9"/>
      <c r="F279" s="9"/>
      <c r="G279" s="8"/>
      <c r="H279" s="5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 x14ac:dyDescent="0.3">
      <c r="A280" s="2"/>
      <c r="B280" s="4" t="s">
        <v>6</v>
      </c>
      <c r="C280" s="3" t="s">
        <v>5</v>
      </c>
      <c r="D280" s="3"/>
      <c r="E280" s="3"/>
      <c r="F280" s="28"/>
      <c r="G280" s="3"/>
      <c r="H280" s="5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 x14ac:dyDescent="0.3">
      <c r="A281" s="2"/>
      <c r="B281" s="4" t="s">
        <v>4</v>
      </c>
      <c r="C281" s="6" t="s">
        <v>3</v>
      </c>
      <c r="D281" s="4"/>
      <c r="E281" s="4"/>
      <c r="F281" s="4"/>
      <c r="G281" s="4" t="s">
        <v>2</v>
      </c>
      <c r="H281" s="5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 x14ac:dyDescent="0.3">
      <c r="A282" s="2"/>
      <c r="B282" s="4" t="s">
        <v>1</v>
      </c>
      <c r="C282" s="3" t="s">
        <v>0</v>
      </c>
      <c r="D282" s="3"/>
      <c r="E282" s="3"/>
      <c r="F282" s="3"/>
      <c r="G282" s="3"/>
      <c r="H282" s="5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 x14ac:dyDescent="0.3">
      <c r="A283" s="2"/>
      <c r="B283" s="89" t="s">
        <v>65</v>
      </c>
      <c r="C283" s="81"/>
      <c r="D283" s="81"/>
      <c r="E283" s="81"/>
      <c r="F283" s="81"/>
      <c r="G283" s="81"/>
      <c r="H283" s="8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 x14ac:dyDescent="0.3">
      <c r="A284" s="2"/>
      <c r="B284" s="4" t="s">
        <v>33</v>
      </c>
      <c r="C284" s="4" t="s">
        <v>32</v>
      </c>
      <c r="D284" s="4" t="s">
        <v>31</v>
      </c>
      <c r="E284" s="4" t="s">
        <v>30</v>
      </c>
      <c r="F284" s="4" t="s">
        <v>29</v>
      </c>
      <c r="G284" s="4" t="s">
        <v>28</v>
      </c>
      <c r="H284" s="4" t="s">
        <v>27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 x14ac:dyDescent="0.3">
      <c r="A285" s="2"/>
      <c r="B285" s="4" t="s">
        <v>26</v>
      </c>
      <c r="C285" s="3" t="s">
        <v>25</v>
      </c>
      <c r="D285" s="3"/>
      <c r="E285" s="3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 x14ac:dyDescent="0.3">
      <c r="A286" s="2"/>
      <c r="B286" s="3"/>
      <c r="C286" s="3" t="s">
        <v>24</v>
      </c>
      <c r="D286" s="4" t="s">
        <v>23</v>
      </c>
      <c r="E286" s="4" t="s">
        <v>16</v>
      </c>
      <c r="F286" s="31">
        <v>0.66</v>
      </c>
      <c r="G286" s="5"/>
      <c r="H286" s="5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 x14ac:dyDescent="0.3">
      <c r="A287" s="2"/>
      <c r="B287" s="3"/>
      <c r="C287" s="3" t="s">
        <v>22</v>
      </c>
      <c r="D287" s="4" t="s">
        <v>21</v>
      </c>
      <c r="E287" s="4" t="s">
        <v>16</v>
      </c>
      <c r="F287" s="31">
        <v>0.33</v>
      </c>
      <c r="G287" s="5"/>
      <c r="H287" s="5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 x14ac:dyDescent="0.3">
      <c r="A288" s="2"/>
      <c r="B288" s="3"/>
      <c r="C288" s="3" t="s">
        <v>20</v>
      </c>
      <c r="D288" s="4" t="s">
        <v>19</v>
      </c>
      <c r="E288" s="4" t="s">
        <v>16</v>
      </c>
      <c r="F288" s="31">
        <v>3.3000000000000002E-2</v>
      </c>
      <c r="G288" s="5"/>
      <c r="H288" s="5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 x14ac:dyDescent="0.3">
      <c r="A289" s="2"/>
      <c r="B289" s="3"/>
      <c r="C289" s="3" t="s">
        <v>18</v>
      </c>
      <c r="D289" s="4" t="s">
        <v>17</v>
      </c>
      <c r="E289" s="4" t="s">
        <v>16</v>
      </c>
      <c r="F289" s="31">
        <v>1.0999999999999999E-2</v>
      </c>
      <c r="G289" s="5"/>
      <c r="H289" s="5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 x14ac:dyDescent="0.3">
      <c r="A290" s="2"/>
      <c r="B290" s="3"/>
      <c r="C290" s="10" t="s">
        <v>15</v>
      </c>
      <c r="D290" s="9"/>
      <c r="E290" s="9"/>
      <c r="F290" s="9"/>
      <c r="G290" s="8"/>
      <c r="H290" s="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 x14ac:dyDescent="0.3">
      <c r="A291" s="2"/>
      <c r="B291" s="4" t="s">
        <v>14</v>
      </c>
      <c r="C291" s="3" t="s">
        <v>13</v>
      </c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 x14ac:dyDescent="0.3">
      <c r="A292" s="2"/>
      <c r="B292" s="3"/>
      <c r="C292" s="29" t="s">
        <v>64</v>
      </c>
      <c r="D292" s="3"/>
      <c r="E292" s="4" t="s">
        <v>38</v>
      </c>
      <c r="F292" s="30">
        <v>0.4</v>
      </c>
      <c r="G292" s="5"/>
      <c r="H292" s="5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 x14ac:dyDescent="0.3">
      <c r="A293" s="2"/>
      <c r="B293" s="3"/>
      <c r="C293" s="6" t="s">
        <v>48</v>
      </c>
      <c r="D293" s="3"/>
      <c r="E293" s="4" t="s">
        <v>47</v>
      </c>
      <c r="F293" s="7">
        <v>0.15</v>
      </c>
      <c r="G293" s="5"/>
      <c r="H293" s="5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 x14ac:dyDescent="0.3">
      <c r="A294" s="2"/>
      <c r="B294" s="3"/>
      <c r="C294" s="29" t="s">
        <v>63</v>
      </c>
      <c r="D294" s="3"/>
      <c r="E294" s="4" t="s">
        <v>35</v>
      </c>
      <c r="F294" s="7">
        <v>5.0000000000000001E-3</v>
      </c>
      <c r="G294" s="5"/>
      <c r="H294" s="5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 x14ac:dyDescent="0.3">
      <c r="A295" s="2"/>
      <c r="B295" s="3"/>
      <c r="C295" s="15" t="s">
        <v>62</v>
      </c>
      <c r="D295" s="3"/>
      <c r="E295" s="4" t="s">
        <v>11</v>
      </c>
      <c r="F295" s="7">
        <v>0.127</v>
      </c>
      <c r="G295" s="5"/>
      <c r="H295" s="5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 x14ac:dyDescent="0.3">
      <c r="A296" s="2"/>
      <c r="B296" s="3"/>
      <c r="C296" s="26" t="s">
        <v>61</v>
      </c>
      <c r="D296" s="3"/>
      <c r="E296" s="4" t="s">
        <v>60</v>
      </c>
      <c r="F296" s="7">
        <v>0.65</v>
      </c>
      <c r="G296" s="5"/>
      <c r="H296" s="5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 x14ac:dyDescent="0.3">
      <c r="A297" s="2"/>
      <c r="B297" s="3"/>
      <c r="C297" s="10" t="s">
        <v>10</v>
      </c>
      <c r="D297" s="9"/>
      <c r="E297" s="9"/>
      <c r="F297" s="9"/>
      <c r="G297" s="8"/>
      <c r="H297" s="5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 x14ac:dyDescent="0.3">
      <c r="A298" s="2"/>
      <c r="B298" s="4" t="s">
        <v>9</v>
      </c>
      <c r="C298" s="3" t="s">
        <v>8</v>
      </c>
      <c r="D298" s="3"/>
      <c r="E298" s="3"/>
      <c r="F298" s="3"/>
      <c r="G298" s="25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 x14ac:dyDescent="0.3">
      <c r="A299" s="2"/>
      <c r="B299" s="3"/>
      <c r="C299" s="10" t="s">
        <v>7</v>
      </c>
      <c r="D299" s="9"/>
      <c r="E299" s="9"/>
      <c r="F299" s="9"/>
      <c r="G299" s="8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 x14ac:dyDescent="0.3">
      <c r="A300" s="2"/>
      <c r="B300" s="4" t="s">
        <v>6</v>
      </c>
      <c r="C300" s="3" t="s">
        <v>5</v>
      </c>
      <c r="D300" s="3"/>
      <c r="E300" s="3"/>
      <c r="F300" s="28"/>
      <c r="G300" s="3"/>
      <c r="H300" s="5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 x14ac:dyDescent="0.3">
      <c r="A301" s="2"/>
      <c r="B301" s="4" t="s">
        <v>4</v>
      </c>
      <c r="C301" s="6" t="s">
        <v>3</v>
      </c>
      <c r="D301" s="4"/>
      <c r="E301" s="4"/>
      <c r="F301" s="4"/>
      <c r="G301" s="4" t="s">
        <v>2</v>
      </c>
      <c r="H301" s="5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 x14ac:dyDescent="0.3">
      <c r="A302" s="2"/>
      <c r="B302" s="4" t="s">
        <v>1</v>
      </c>
      <c r="C302" s="3" t="s">
        <v>0</v>
      </c>
      <c r="D302" s="3"/>
      <c r="E302" s="3"/>
      <c r="F302" s="3"/>
      <c r="G302" s="3"/>
      <c r="H302" s="5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 x14ac:dyDescent="0.3">
      <c r="A303" s="2"/>
      <c r="B303" s="89" t="s">
        <v>59</v>
      </c>
      <c r="C303" s="81"/>
      <c r="D303" s="81"/>
      <c r="E303" s="81"/>
      <c r="F303" s="81"/>
      <c r="G303" s="81"/>
      <c r="H303" s="8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 x14ac:dyDescent="0.3">
      <c r="A304" s="2"/>
      <c r="B304" s="4" t="s">
        <v>33</v>
      </c>
      <c r="C304" s="4" t="s">
        <v>32</v>
      </c>
      <c r="D304" s="4" t="s">
        <v>31</v>
      </c>
      <c r="E304" s="4" t="s">
        <v>30</v>
      </c>
      <c r="F304" s="4" t="s">
        <v>29</v>
      </c>
      <c r="G304" s="4" t="s">
        <v>28</v>
      </c>
      <c r="H304" s="4" t="s">
        <v>27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 x14ac:dyDescent="0.3">
      <c r="A305" s="2"/>
      <c r="B305" s="4" t="s">
        <v>26</v>
      </c>
      <c r="C305" s="6" t="s">
        <v>25</v>
      </c>
      <c r="D305" s="4"/>
      <c r="E305" s="4"/>
      <c r="F305" s="4"/>
      <c r="G305" s="4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 x14ac:dyDescent="0.3">
      <c r="A306" s="2"/>
      <c r="B306" s="3"/>
      <c r="C306" s="6" t="s">
        <v>24</v>
      </c>
      <c r="D306" s="4" t="s">
        <v>23</v>
      </c>
      <c r="E306" s="4" t="s">
        <v>16</v>
      </c>
      <c r="F306" s="7">
        <v>1</v>
      </c>
      <c r="G306" s="5"/>
      <c r="H306" s="5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 x14ac:dyDescent="0.3">
      <c r="A307" s="2"/>
      <c r="B307" s="3"/>
      <c r="C307" s="6" t="s">
        <v>58</v>
      </c>
      <c r="D307" s="4" t="s">
        <v>21</v>
      </c>
      <c r="E307" s="4" t="s">
        <v>16</v>
      </c>
      <c r="F307" s="7">
        <v>0.25</v>
      </c>
      <c r="G307" s="5"/>
      <c r="H307" s="5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 x14ac:dyDescent="0.3">
      <c r="A308" s="2"/>
      <c r="B308" s="3"/>
      <c r="C308" s="6" t="s">
        <v>20</v>
      </c>
      <c r="D308" s="4" t="s">
        <v>19</v>
      </c>
      <c r="E308" s="4" t="s">
        <v>16</v>
      </c>
      <c r="F308" s="7">
        <v>2.5000000000000001E-2</v>
      </c>
      <c r="G308" s="5"/>
      <c r="H308" s="5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 x14ac:dyDescent="0.3">
      <c r="A309" s="2"/>
      <c r="B309" s="3"/>
      <c r="C309" s="6" t="s">
        <v>18</v>
      </c>
      <c r="D309" s="4" t="s">
        <v>17</v>
      </c>
      <c r="E309" s="4" t="s">
        <v>16</v>
      </c>
      <c r="F309" s="7">
        <v>0.1</v>
      </c>
      <c r="G309" s="5"/>
      <c r="H309" s="5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 x14ac:dyDescent="0.3">
      <c r="A310" s="2"/>
      <c r="B310" s="3"/>
      <c r="C310" s="10" t="s">
        <v>15</v>
      </c>
      <c r="D310" s="9"/>
      <c r="E310" s="9"/>
      <c r="F310" s="9"/>
      <c r="G310" s="8"/>
      <c r="H310" s="5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 x14ac:dyDescent="0.3">
      <c r="A311" s="2"/>
      <c r="B311" s="4" t="s">
        <v>14</v>
      </c>
      <c r="C311" s="6" t="s">
        <v>13</v>
      </c>
      <c r="D311" s="4"/>
      <c r="E311" s="4"/>
      <c r="F311" s="4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 x14ac:dyDescent="0.3">
      <c r="A312" s="2"/>
      <c r="B312" s="3"/>
      <c r="C312" s="15" t="s">
        <v>40</v>
      </c>
      <c r="D312" s="4"/>
      <c r="E312" s="4" t="s">
        <v>38</v>
      </c>
      <c r="F312" s="27">
        <v>408</v>
      </c>
      <c r="G312" s="5"/>
      <c r="H312" s="5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 x14ac:dyDescent="0.3">
      <c r="A313" s="2"/>
      <c r="B313" s="3"/>
      <c r="C313" s="6" t="s">
        <v>57</v>
      </c>
      <c r="D313" s="4"/>
      <c r="E313" s="4" t="s">
        <v>38</v>
      </c>
      <c r="F313" s="27">
        <v>629</v>
      </c>
      <c r="G313" s="5"/>
      <c r="H313" s="5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 x14ac:dyDescent="0.3">
      <c r="A314" s="2"/>
      <c r="B314" s="3"/>
      <c r="C314" s="6" t="s">
        <v>56</v>
      </c>
      <c r="D314" s="4"/>
      <c r="E314" s="4" t="s">
        <v>38</v>
      </c>
      <c r="F314" s="27">
        <v>1009</v>
      </c>
      <c r="G314" s="5"/>
      <c r="H314" s="5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 x14ac:dyDescent="0.3">
      <c r="A315" s="2"/>
      <c r="B315" s="3"/>
      <c r="C315" s="6" t="s">
        <v>55</v>
      </c>
      <c r="D315" s="4"/>
      <c r="E315" s="4" t="s">
        <v>47</v>
      </c>
      <c r="F315" s="27">
        <v>202</v>
      </c>
      <c r="G315" s="5"/>
      <c r="H315" s="5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 x14ac:dyDescent="0.3">
      <c r="A316" s="2"/>
      <c r="B316" s="3"/>
      <c r="C316" s="6" t="s">
        <v>54</v>
      </c>
      <c r="D316" s="4"/>
      <c r="E316" s="4" t="s">
        <v>38</v>
      </c>
      <c r="F316" s="27">
        <v>102</v>
      </c>
      <c r="G316" s="5"/>
      <c r="H316" s="5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 x14ac:dyDescent="0.3">
      <c r="A317" s="2"/>
      <c r="B317" s="3"/>
      <c r="C317" s="10" t="s">
        <v>10</v>
      </c>
      <c r="D317" s="9"/>
      <c r="E317" s="9"/>
      <c r="F317" s="9"/>
      <c r="G317" s="8"/>
      <c r="H317" s="5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 x14ac:dyDescent="0.3">
      <c r="A318" s="2"/>
      <c r="B318" s="4" t="s">
        <v>9</v>
      </c>
      <c r="C318" s="6" t="s">
        <v>8</v>
      </c>
      <c r="D318" s="4"/>
      <c r="E318" s="4"/>
      <c r="F318" s="4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 x14ac:dyDescent="0.3">
      <c r="A319" s="2"/>
      <c r="B319" s="4"/>
      <c r="C319" s="26" t="s">
        <v>53</v>
      </c>
      <c r="D319" s="4"/>
      <c r="E319" s="4" t="s">
        <v>52</v>
      </c>
      <c r="F319" s="4">
        <v>0.14749999999999999</v>
      </c>
      <c r="G319" s="5"/>
      <c r="H319" s="5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 x14ac:dyDescent="0.3">
      <c r="A320" s="2"/>
      <c r="B320" s="4"/>
      <c r="C320" s="10" t="s">
        <v>7</v>
      </c>
      <c r="D320" s="9"/>
      <c r="E320" s="9"/>
      <c r="F320" s="9"/>
      <c r="G320" s="8"/>
      <c r="H320" s="5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 x14ac:dyDescent="0.3">
      <c r="A321" s="2"/>
      <c r="B321" s="4" t="s">
        <v>6</v>
      </c>
      <c r="C321" s="6" t="s">
        <v>5</v>
      </c>
      <c r="D321" s="4"/>
      <c r="E321" s="4"/>
      <c r="F321" s="7"/>
      <c r="G321" s="3"/>
      <c r="H321" s="5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 x14ac:dyDescent="0.3">
      <c r="A322" s="2"/>
      <c r="B322" s="4" t="s">
        <v>4</v>
      </c>
      <c r="C322" s="6" t="s">
        <v>3</v>
      </c>
      <c r="D322" s="4"/>
      <c r="E322" s="4"/>
      <c r="F322" s="4"/>
      <c r="G322" s="4" t="s">
        <v>2</v>
      </c>
      <c r="H322" s="5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5"/>
      <c r="C323" s="25"/>
      <c r="D323" s="25"/>
      <c r="E323" s="25"/>
      <c r="F323" s="25"/>
      <c r="G323" s="25"/>
      <c r="H323" s="25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4" t="s">
        <v>1</v>
      </c>
      <c r="C324" s="3" t="s">
        <v>0</v>
      </c>
      <c r="D324" s="3"/>
      <c r="E324" s="3"/>
      <c r="F324" s="3"/>
      <c r="G324" s="3"/>
      <c r="H324" s="5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85" t="s">
        <v>51</v>
      </c>
      <c r="C325" s="81"/>
      <c r="D325" s="81"/>
      <c r="E325" s="81"/>
      <c r="F325" s="81"/>
      <c r="G325" s="81"/>
      <c r="H325" s="86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4" t="s">
        <v>33</v>
      </c>
      <c r="C326" s="4" t="s">
        <v>32</v>
      </c>
      <c r="D326" s="4" t="s">
        <v>31</v>
      </c>
      <c r="E326" s="4" t="s">
        <v>30</v>
      </c>
      <c r="F326" s="4" t="s">
        <v>29</v>
      </c>
      <c r="G326" s="4" t="s">
        <v>28</v>
      </c>
      <c r="H326" s="4" t="s">
        <v>27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4" t="s">
        <v>26</v>
      </c>
      <c r="C327" s="6" t="s">
        <v>25</v>
      </c>
      <c r="D327" s="4"/>
      <c r="E327" s="4"/>
      <c r="F327" s="4"/>
      <c r="G327" s="4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3"/>
      <c r="C328" s="6" t="s">
        <v>24</v>
      </c>
      <c r="D328" s="4" t="s">
        <v>23</v>
      </c>
      <c r="E328" s="4" t="s">
        <v>16</v>
      </c>
      <c r="F328" s="19">
        <v>0.1429</v>
      </c>
      <c r="G328" s="5"/>
      <c r="H328" s="5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3"/>
      <c r="C329" s="6" t="s">
        <v>22</v>
      </c>
      <c r="D329" s="4" t="s">
        <v>21</v>
      </c>
      <c r="E329" s="4" t="s">
        <v>16</v>
      </c>
      <c r="F329" s="19">
        <v>7.1400000000000005E-2</v>
      </c>
      <c r="G329" s="5"/>
      <c r="H329" s="5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3"/>
      <c r="C330" s="6" t="s">
        <v>20</v>
      </c>
      <c r="D330" s="4" t="s">
        <v>19</v>
      </c>
      <c r="E330" s="4" t="s">
        <v>16</v>
      </c>
      <c r="F330" s="19">
        <v>7.1000000000000004E-3</v>
      </c>
      <c r="G330" s="5"/>
      <c r="H330" s="5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3"/>
      <c r="C331" s="6" t="s">
        <v>18</v>
      </c>
      <c r="D331" s="4" t="s">
        <v>17</v>
      </c>
      <c r="E331" s="4" t="s">
        <v>16</v>
      </c>
      <c r="F331" s="19">
        <v>2.3999999999999998E-3</v>
      </c>
      <c r="G331" s="5"/>
      <c r="H331" s="5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3"/>
      <c r="C332" s="10" t="s">
        <v>15</v>
      </c>
      <c r="D332" s="9"/>
      <c r="E332" s="9"/>
      <c r="F332" s="9"/>
      <c r="G332" s="8"/>
      <c r="H332" s="5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4" t="s">
        <v>14</v>
      </c>
      <c r="C333" s="6" t="s">
        <v>13</v>
      </c>
      <c r="D333" s="4"/>
      <c r="E333" s="4"/>
      <c r="F333" s="4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16"/>
      <c r="C334" s="15" t="s">
        <v>50</v>
      </c>
      <c r="D334" s="16"/>
      <c r="E334" s="24" t="s">
        <v>43</v>
      </c>
      <c r="F334" s="23">
        <v>11.667</v>
      </c>
      <c r="G334" s="5"/>
      <c r="H334" s="2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3"/>
      <c r="C335" s="6" t="s">
        <v>49</v>
      </c>
      <c r="D335" s="4"/>
      <c r="E335" s="4" t="s">
        <v>38</v>
      </c>
      <c r="F335" s="7">
        <v>13.632</v>
      </c>
      <c r="G335" s="5"/>
      <c r="H335" s="5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3"/>
      <c r="C336" s="6" t="s">
        <v>48</v>
      </c>
      <c r="D336" s="4"/>
      <c r="E336" s="4" t="s">
        <v>47</v>
      </c>
      <c r="F336" s="7">
        <v>2.7E-2</v>
      </c>
      <c r="G336" s="5"/>
      <c r="H336" s="5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3"/>
      <c r="C337" s="10" t="s">
        <v>10</v>
      </c>
      <c r="D337" s="9"/>
      <c r="E337" s="9"/>
      <c r="F337" s="9"/>
      <c r="G337" s="8"/>
      <c r="H337" s="5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4" t="s">
        <v>9</v>
      </c>
      <c r="C338" s="6" t="s">
        <v>8</v>
      </c>
      <c r="D338" s="4"/>
      <c r="E338" s="4"/>
      <c r="F338" s="4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4"/>
      <c r="C339" s="10" t="s">
        <v>7</v>
      </c>
      <c r="D339" s="9"/>
      <c r="E339" s="9"/>
      <c r="F339" s="9"/>
      <c r="G339" s="8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4" t="s">
        <v>6</v>
      </c>
      <c r="C340" s="6" t="s">
        <v>5</v>
      </c>
      <c r="D340" s="4"/>
      <c r="E340" s="4"/>
      <c r="F340" s="7"/>
      <c r="G340" s="3"/>
      <c r="H340" s="5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4" t="s">
        <v>4</v>
      </c>
      <c r="C341" s="6" t="s">
        <v>3</v>
      </c>
      <c r="D341" s="4"/>
      <c r="E341" s="4"/>
      <c r="F341" s="4"/>
      <c r="G341" s="4" t="s">
        <v>2</v>
      </c>
      <c r="H341" s="5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4" t="s">
        <v>1</v>
      </c>
      <c r="C342" s="3" t="s">
        <v>0</v>
      </c>
      <c r="D342" s="3"/>
      <c r="E342" s="3"/>
      <c r="F342" s="3"/>
      <c r="G342" s="3"/>
      <c r="H342" s="5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85" t="s">
        <v>46</v>
      </c>
      <c r="C343" s="81"/>
      <c r="D343" s="81"/>
      <c r="E343" s="81"/>
      <c r="F343" s="81"/>
      <c r="G343" s="81"/>
      <c r="H343" s="86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4" t="s">
        <v>33</v>
      </c>
      <c r="C344" s="4" t="s">
        <v>32</v>
      </c>
      <c r="D344" s="4" t="s">
        <v>31</v>
      </c>
      <c r="E344" s="4" t="s">
        <v>30</v>
      </c>
      <c r="F344" s="4" t="s">
        <v>29</v>
      </c>
      <c r="G344" s="4" t="s">
        <v>28</v>
      </c>
      <c r="H344" s="4" t="s">
        <v>27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4" t="s">
        <v>26</v>
      </c>
      <c r="C345" s="6" t="s">
        <v>25</v>
      </c>
      <c r="D345" s="4"/>
      <c r="E345" s="4"/>
      <c r="F345" s="4"/>
      <c r="G345" s="4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3"/>
      <c r="C346" s="6" t="s">
        <v>24</v>
      </c>
      <c r="D346" s="4" t="s">
        <v>23</v>
      </c>
      <c r="E346" s="4" t="s">
        <v>16</v>
      </c>
      <c r="F346" s="19">
        <v>0.16669999999999999</v>
      </c>
      <c r="G346" s="5"/>
      <c r="H346" s="5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3"/>
      <c r="C347" s="6" t="s">
        <v>45</v>
      </c>
      <c r="D347" s="4" t="s">
        <v>21</v>
      </c>
      <c r="E347" s="4" t="s">
        <v>16</v>
      </c>
      <c r="F347" s="19">
        <v>8.3299999999999999E-2</v>
      </c>
      <c r="G347" s="5"/>
      <c r="H347" s="5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3"/>
      <c r="C348" s="6" t="s">
        <v>20</v>
      </c>
      <c r="D348" s="4" t="s">
        <v>19</v>
      </c>
      <c r="E348" s="4" t="s">
        <v>16</v>
      </c>
      <c r="F348" s="19">
        <v>8.3000000000000001E-3</v>
      </c>
      <c r="G348" s="5"/>
      <c r="H348" s="5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3"/>
      <c r="C349" s="6" t="s">
        <v>18</v>
      </c>
      <c r="D349" s="4" t="s">
        <v>17</v>
      </c>
      <c r="E349" s="4" t="s">
        <v>16</v>
      </c>
      <c r="F349" s="19">
        <v>2.8E-3</v>
      </c>
      <c r="G349" s="5"/>
      <c r="H349" s="5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3"/>
      <c r="C350" s="10" t="s">
        <v>15</v>
      </c>
      <c r="D350" s="9"/>
      <c r="E350" s="9"/>
      <c r="F350" s="9"/>
      <c r="G350" s="8"/>
      <c r="H350" s="5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4" t="s">
        <v>14</v>
      </c>
      <c r="C351" s="6" t="s">
        <v>13</v>
      </c>
      <c r="D351" s="4"/>
      <c r="E351" s="4"/>
      <c r="F351" s="4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16"/>
      <c r="C352" s="21" t="s">
        <v>44</v>
      </c>
      <c r="D352" s="14"/>
      <c r="E352" s="13" t="s">
        <v>43</v>
      </c>
      <c r="F352" s="20">
        <v>8.75</v>
      </c>
      <c r="G352" s="5"/>
      <c r="H352" s="1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3"/>
      <c r="C353" s="6" t="s">
        <v>42</v>
      </c>
      <c r="D353" s="4"/>
      <c r="E353" s="4" t="s">
        <v>38</v>
      </c>
      <c r="F353" s="7">
        <v>3.4289999999999998</v>
      </c>
      <c r="G353" s="5"/>
      <c r="H353" s="5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3"/>
      <c r="C354" s="10" t="s">
        <v>10</v>
      </c>
      <c r="D354" s="9"/>
      <c r="E354" s="9"/>
      <c r="F354" s="9"/>
      <c r="G354" s="8"/>
      <c r="H354" s="5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4" t="s">
        <v>9</v>
      </c>
      <c r="C355" s="6" t="s">
        <v>8</v>
      </c>
      <c r="D355" s="4"/>
      <c r="E355" s="4"/>
      <c r="F355" s="4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4"/>
      <c r="C356" s="10" t="s">
        <v>7</v>
      </c>
      <c r="D356" s="9"/>
      <c r="E356" s="9"/>
      <c r="F356" s="9"/>
      <c r="G356" s="8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4" t="s">
        <v>6</v>
      </c>
      <c r="C357" s="6" t="s">
        <v>5</v>
      </c>
      <c r="D357" s="4"/>
      <c r="E357" s="4"/>
      <c r="F357" s="7"/>
      <c r="G357" s="3"/>
      <c r="H357" s="5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4" t="s">
        <v>4</v>
      </c>
      <c r="C358" s="6" t="s">
        <v>3</v>
      </c>
      <c r="D358" s="4"/>
      <c r="E358" s="4"/>
      <c r="F358" s="4"/>
      <c r="G358" s="4" t="s">
        <v>2</v>
      </c>
      <c r="H358" s="5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4" t="s">
        <v>1</v>
      </c>
      <c r="C359" s="3" t="s">
        <v>0</v>
      </c>
      <c r="D359" s="3"/>
      <c r="E359" s="3"/>
      <c r="F359" s="3"/>
      <c r="G359" s="3"/>
      <c r="H359" s="5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85" t="s">
        <v>41</v>
      </c>
      <c r="C360" s="81"/>
      <c r="D360" s="81"/>
      <c r="E360" s="81"/>
      <c r="F360" s="81"/>
      <c r="G360" s="81"/>
      <c r="H360" s="86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4" t="s">
        <v>33</v>
      </c>
      <c r="C361" s="4" t="s">
        <v>32</v>
      </c>
      <c r="D361" s="4" t="s">
        <v>31</v>
      </c>
      <c r="E361" s="4" t="s">
        <v>30</v>
      </c>
      <c r="F361" s="4" t="s">
        <v>29</v>
      </c>
      <c r="G361" s="4" t="s">
        <v>28</v>
      </c>
      <c r="H361" s="4" t="s">
        <v>27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4" t="s">
        <v>26</v>
      </c>
      <c r="C362" s="6" t="s">
        <v>25</v>
      </c>
      <c r="D362" s="4"/>
      <c r="E362" s="4"/>
      <c r="F362" s="4"/>
      <c r="G362" s="4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3"/>
      <c r="C363" s="6" t="s">
        <v>24</v>
      </c>
      <c r="D363" s="4" t="s">
        <v>23</v>
      </c>
      <c r="E363" s="4" t="s">
        <v>16</v>
      </c>
      <c r="F363" s="19">
        <v>0.2</v>
      </c>
      <c r="G363" s="5"/>
      <c r="H363" s="5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3"/>
      <c r="C364" s="6" t="s">
        <v>22</v>
      </c>
      <c r="D364" s="4" t="s">
        <v>21</v>
      </c>
      <c r="E364" s="4" t="s">
        <v>16</v>
      </c>
      <c r="F364" s="19">
        <v>0.1</v>
      </c>
      <c r="G364" s="5"/>
      <c r="H364" s="5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3"/>
      <c r="C365" s="6" t="s">
        <v>20</v>
      </c>
      <c r="D365" s="4" t="s">
        <v>19</v>
      </c>
      <c r="E365" s="4" t="s">
        <v>16</v>
      </c>
      <c r="F365" s="19">
        <v>0.01</v>
      </c>
      <c r="G365" s="5"/>
      <c r="H365" s="5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3"/>
      <c r="C366" s="6" t="s">
        <v>18</v>
      </c>
      <c r="D366" s="4" t="s">
        <v>17</v>
      </c>
      <c r="E366" s="4" t="s">
        <v>16</v>
      </c>
      <c r="F366" s="19">
        <v>3.3E-3</v>
      </c>
      <c r="G366" s="5"/>
      <c r="H366" s="5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3"/>
      <c r="C367" s="10" t="s">
        <v>15</v>
      </c>
      <c r="D367" s="9"/>
      <c r="E367" s="9"/>
      <c r="F367" s="9"/>
      <c r="G367" s="8"/>
      <c r="H367" s="5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4" t="s">
        <v>14</v>
      </c>
      <c r="C368" s="6" t="s">
        <v>13</v>
      </c>
      <c r="D368" s="4"/>
      <c r="E368" s="4"/>
      <c r="F368" s="4"/>
      <c r="G368" s="4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3"/>
      <c r="C369" s="15" t="s">
        <v>40</v>
      </c>
      <c r="D369" s="4" t="s">
        <v>39</v>
      </c>
      <c r="E369" s="18" t="s">
        <v>38</v>
      </c>
      <c r="F369" s="17">
        <v>7.7759999999999998</v>
      </c>
      <c r="G369" s="5"/>
      <c r="H369" s="5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3"/>
      <c r="C370" s="6" t="s">
        <v>37</v>
      </c>
      <c r="D370" s="4" t="s">
        <v>36</v>
      </c>
      <c r="E370" s="4" t="s">
        <v>35</v>
      </c>
      <c r="F370" s="7">
        <v>2.3E-2</v>
      </c>
      <c r="G370" s="5"/>
      <c r="H370" s="5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3"/>
      <c r="C371" s="10" t="s">
        <v>10</v>
      </c>
      <c r="D371" s="9"/>
      <c r="E371" s="9"/>
      <c r="F371" s="9"/>
      <c r="G371" s="8"/>
      <c r="H371" s="5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4" t="s">
        <v>9</v>
      </c>
      <c r="C372" s="6" t="s">
        <v>8</v>
      </c>
      <c r="D372" s="4"/>
      <c r="E372" s="4"/>
      <c r="F372" s="4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4"/>
      <c r="C373" s="10" t="s">
        <v>7</v>
      </c>
      <c r="D373" s="9"/>
      <c r="E373" s="9"/>
      <c r="F373" s="9"/>
      <c r="G373" s="8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4" t="s">
        <v>6</v>
      </c>
      <c r="C374" s="6" t="s">
        <v>5</v>
      </c>
      <c r="D374" s="4"/>
      <c r="E374" s="4"/>
      <c r="F374" s="7"/>
      <c r="G374" s="3"/>
      <c r="H374" s="5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4" t="s">
        <v>4</v>
      </c>
      <c r="C375" s="6" t="s">
        <v>3</v>
      </c>
      <c r="D375" s="4"/>
      <c r="E375" s="4"/>
      <c r="F375" s="4"/>
      <c r="G375" s="4" t="s">
        <v>2</v>
      </c>
      <c r="H375" s="5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4" t="s">
        <v>1</v>
      </c>
      <c r="C376" s="3" t="s">
        <v>0</v>
      </c>
      <c r="D376" s="3"/>
      <c r="E376" s="3"/>
      <c r="F376" s="3"/>
      <c r="G376" s="3"/>
      <c r="H376" s="5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85" t="s">
        <v>34</v>
      </c>
      <c r="C377" s="81"/>
      <c r="D377" s="81"/>
      <c r="E377" s="81"/>
      <c r="F377" s="81"/>
      <c r="G377" s="81"/>
      <c r="H377" s="86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4" t="s">
        <v>33</v>
      </c>
      <c r="C378" s="4" t="s">
        <v>32</v>
      </c>
      <c r="D378" s="4" t="s">
        <v>31</v>
      </c>
      <c r="E378" s="4" t="s">
        <v>30</v>
      </c>
      <c r="F378" s="4" t="s">
        <v>29</v>
      </c>
      <c r="G378" s="4" t="s">
        <v>28</v>
      </c>
      <c r="H378" s="4" t="s">
        <v>27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4" t="s">
        <v>26</v>
      </c>
      <c r="C379" s="6" t="s">
        <v>25</v>
      </c>
      <c r="D379" s="4"/>
      <c r="E379" s="4"/>
      <c r="F379" s="4"/>
      <c r="G379" s="4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3"/>
      <c r="C380" s="6" t="s">
        <v>24</v>
      </c>
      <c r="D380" s="4" t="s">
        <v>23</v>
      </c>
      <c r="E380" s="4" t="s">
        <v>16</v>
      </c>
      <c r="F380" s="7">
        <v>0.12</v>
      </c>
      <c r="G380" s="5"/>
      <c r="H380" s="5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3"/>
      <c r="C381" s="6" t="s">
        <v>22</v>
      </c>
      <c r="D381" s="4" t="s">
        <v>21</v>
      </c>
      <c r="E381" s="4" t="s">
        <v>16</v>
      </c>
      <c r="F381" s="7">
        <v>0.12</v>
      </c>
      <c r="G381" s="5"/>
      <c r="H381" s="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3"/>
      <c r="C382" s="6" t="s">
        <v>20</v>
      </c>
      <c r="D382" s="4" t="s">
        <v>19</v>
      </c>
      <c r="E382" s="4" t="s">
        <v>16</v>
      </c>
      <c r="F382" s="7">
        <v>1.2E-2</v>
      </c>
      <c r="G382" s="5"/>
      <c r="H382" s="5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3"/>
      <c r="C383" s="6" t="s">
        <v>18</v>
      </c>
      <c r="D383" s="4" t="s">
        <v>17</v>
      </c>
      <c r="E383" s="4" t="s">
        <v>16</v>
      </c>
      <c r="F383" s="7">
        <v>4.0000000000000001E-3</v>
      </c>
      <c r="G383" s="5"/>
      <c r="H383" s="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3"/>
      <c r="C384" s="10" t="s">
        <v>15</v>
      </c>
      <c r="D384" s="9"/>
      <c r="E384" s="9"/>
      <c r="F384" s="9"/>
      <c r="G384" s="8"/>
      <c r="H384" s="5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4" t="s">
        <v>14</v>
      </c>
      <c r="C385" s="6" t="s">
        <v>13</v>
      </c>
      <c r="D385" s="4"/>
      <c r="E385" s="4"/>
      <c r="F385" s="4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16"/>
      <c r="C386" s="15" t="s">
        <v>12</v>
      </c>
      <c r="D386" s="14"/>
      <c r="E386" s="13" t="s">
        <v>11</v>
      </c>
      <c r="F386" s="12">
        <v>5.8</v>
      </c>
      <c r="G386" s="5"/>
      <c r="H386" s="1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3"/>
      <c r="C387" s="10" t="s">
        <v>10</v>
      </c>
      <c r="D387" s="9"/>
      <c r="E387" s="9"/>
      <c r="F387" s="9"/>
      <c r="G387" s="8"/>
      <c r="H387" s="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4" t="s">
        <v>9</v>
      </c>
      <c r="C388" s="6" t="s">
        <v>8</v>
      </c>
      <c r="D388" s="4"/>
      <c r="E388" s="4"/>
      <c r="F388" s="4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4"/>
      <c r="C389" s="10" t="s">
        <v>7</v>
      </c>
      <c r="D389" s="9"/>
      <c r="E389" s="9"/>
      <c r="F389" s="9"/>
      <c r="G389" s="8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4" t="s">
        <v>6</v>
      </c>
      <c r="C390" s="6" t="s">
        <v>5</v>
      </c>
      <c r="D390" s="4"/>
      <c r="E390" s="4"/>
      <c r="F390" s="7"/>
      <c r="G390" s="3"/>
      <c r="H390" s="5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4" t="s">
        <v>4</v>
      </c>
      <c r="C391" s="6" t="s">
        <v>3</v>
      </c>
      <c r="D391" s="4"/>
      <c r="E391" s="4"/>
      <c r="F391" s="4"/>
      <c r="G391" s="4" t="s">
        <v>2</v>
      </c>
      <c r="H391" s="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4" t="s">
        <v>1</v>
      </c>
      <c r="C392" s="3" t="s">
        <v>0</v>
      </c>
      <c r="D392" s="3"/>
      <c r="E392" s="3"/>
      <c r="F392" s="3"/>
      <c r="G392" s="3"/>
      <c r="H392" s="5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="1" customFormat="1" ht="15.75" customHeight="1" x14ac:dyDescent="0.3"/>
    <row r="594" s="1" customFormat="1" ht="15.75" customHeight="1" x14ac:dyDescent="0.3"/>
    <row r="595" s="1" customFormat="1" ht="15.75" customHeight="1" x14ac:dyDescent="0.3"/>
    <row r="596" s="1" customFormat="1" ht="15.75" customHeight="1" x14ac:dyDescent="0.3"/>
    <row r="597" s="1" customFormat="1" ht="15.75" customHeight="1" x14ac:dyDescent="0.3"/>
    <row r="598" s="1" customFormat="1" ht="15.75" customHeight="1" x14ac:dyDescent="0.3"/>
    <row r="599" s="1" customFormat="1" ht="15.75" customHeight="1" x14ac:dyDescent="0.3"/>
    <row r="600" s="1" customFormat="1" ht="15.75" customHeight="1" x14ac:dyDescent="0.3"/>
    <row r="601" s="1" customFormat="1" ht="15.75" customHeight="1" x14ac:dyDescent="0.3"/>
    <row r="602" s="1" customFormat="1" ht="15.75" customHeight="1" x14ac:dyDescent="0.3"/>
    <row r="603" s="1" customFormat="1" ht="15.75" customHeight="1" x14ac:dyDescent="0.3"/>
    <row r="604" s="1" customFormat="1" ht="15.75" customHeight="1" x14ac:dyDescent="0.3"/>
    <row r="605" s="1" customFormat="1" ht="15.75" customHeight="1" x14ac:dyDescent="0.3"/>
    <row r="606" s="1" customFormat="1" ht="15.75" customHeight="1" x14ac:dyDescent="0.3"/>
    <row r="607" s="1" customFormat="1" ht="15.75" customHeight="1" x14ac:dyDescent="0.3"/>
    <row r="608" s="1" customFormat="1" ht="15.75" customHeight="1" x14ac:dyDescent="0.3"/>
    <row r="609" s="1" customFormat="1" ht="15.75" customHeight="1" x14ac:dyDescent="0.3"/>
    <row r="610" s="1" customFormat="1" ht="15.75" customHeight="1" x14ac:dyDescent="0.3"/>
    <row r="611" s="1" customFormat="1" ht="15.75" customHeight="1" x14ac:dyDescent="0.3"/>
    <row r="612" s="1" customFormat="1" ht="15.75" customHeight="1" x14ac:dyDescent="0.3"/>
    <row r="613" s="1" customFormat="1" ht="15.75" customHeight="1" x14ac:dyDescent="0.3"/>
    <row r="614" s="1" customFormat="1" ht="15.75" customHeight="1" x14ac:dyDescent="0.3"/>
    <row r="615" s="1" customFormat="1" ht="15.75" customHeight="1" x14ac:dyDescent="0.3"/>
    <row r="616" s="1" customFormat="1" ht="15.75" customHeight="1" x14ac:dyDescent="0.3"/>
    <row r="617" s="1" customFormat="1" ht="15.75" customHeight="1" x14ac:dyDescent="0.3"/>
    <row r="618" s="1" customFormat="1" ht="15.75" customHeight="1" x14ac:dyDescent="0.3"/>
    <row r="619" s="1" customFormat="1" ht="15.75" customHeight="1" x14ac:dyDescent="0.3"/>
    <row r="620" s="1" customFormat="1" ht="15.75" customHeight="1" x14ac:dyDescent="0.3"/>
    <row r="621" s="1" customFormat="1" ht="15.75" customHeight="1" x14ac:dyDescent="0.3"/>
    <row r="622" s="1" customFormat="1" ht="15.75" customHeight="1" x14ac:dyDescent="0.3"/>
    <row r="623" s="1" customFormat="1" ht="15.75" customHeight="1" x14ac:dyDescent="0.3"/>
    <row r="624" s="1" customFormat="1" ht="15.75" customHeight="1" x14ac:dyDescent="0.3"/>
    <row r="625" s="1" customFormat="1" ht="15.75" customHeight="1" x14ac:dyDescent="0.3"/>
    <row r="626" s="1" customFormat="1" ht="15.75" customHeight="1" x14ac:dyDescent="0.3"/>
    <row r="627" s="1" customFormat="1" ht="15.75" customHeight="1" x14ac:dyDescent="0.3"/>
    <row r="628" s="1" customFormat="1" ht="15.75" customHeight="1" x14ac:dyDescent="0.3"/>
    <row r="629" s="1" customFormat="1" ht="15.75" customHeight="1" x14ac:dyDescent="0.3"/>
    <row r="630" s="1" customFormat="1" ht="15.75" customHeight="1" x14ac:dyDescent="0.3"/>
    <row r="631" s="1" customFormat="1" ht="15.75" customHeight="1" x14ac:dyDescent="0.3"/>
    <row r="632" s="1" customFormat="1" ht="15.75" customHeight="1" x14ac:dyDescent="0.3"/>
    <row r="633" s="1" customFormat="1" ht="15.75" customHeight="1" x14ac:dyDescent="0.3"/>
    <row r="634" s="1" customFormat="1" ht="15.75" customHeight="1" x14ac:dyDescent="0.3"/>
    <row r="635" s="1" customFormat="1" ht="15.75" customHeight="1" x14ac:dyDescent="0.3"/>
    <row r="636" s="1" customFormat="1" ht="15.75" customHeight="1" x14ac:dyDescent="0.3"/>
    <row r="637" s="1" customFormat="1" ht="15.75" customHeight="1" x14ac:dyDescent="0.3"/>
    <row r="638" s="1" customFormat="1" ht="15.75" customHeight="1" x14ac:dyDescent="0.3"/>
    <row r="639" s="1" customFormat="1" ht="15.75" customHeight="1" x14ac:dyDescent="0.3"/>
    <row r="640" s="1" customFormat="1" ht="15.75" customHeight="1" x14ac:dyDescent="0.3"/>
    <row r="641" s="1" customFormat="1" ht="15.75" customHeight="1" x14ac:dyDescent="0.3"/>
    <row r="642" s="1" customFormat="1" ht="15.75" customHeight="1" x14ac:dyDescent="0.3"/>
    <row r="643" s="1" customFormat="1" ht="15.75" customHeight="1" x14ac:dyDescent="0.3"/>
    <row r="644" s="1" customFormat="1" ht="15.75" customHeight="1" x14ac:dyDescent="0.3"/>
    <row r="645" s="1" customFormat="1" ht="15.75" customHeight="1" x14ac:dyDescent="0.3"/>
    <row r="646" s="1" customFormat="1" ht="15.75" customHeight="1" x14ac:dyDescent="0.3"/>
    <row r="647" s="1" customFormat="1" ht="15.75" customHeight="1" x14ac:dyDescent="0.3"/>
    <row r="648" s="1" customFormat="1" ht="15.75" customHeight="1" x14ac:dyDescent="0.3"/>
    <row r="649" s="1" customFormat="1" ht="15.75" customHeight="1" x14ac:dyDescent="0.3"/>
    <row r="650" s="1" customFormat="1" ht="15.75" customHeight="1" x14ac:dyDescent="0.3"/>
    <row r="651" s="1" customFormat="1" ht="15.75" customHeight="1" x14ac:dyDescent="0.3"/>
    <row r="652" s="1" customFormat="1" ht="15.75" customHeight="1" x14ac:dyDescent="0.3"/>
    <row r="653" s="1" customFormat="1" ht="15.75" customHeight="1" x14ac:dyDescent="0.3"/>
    <row r="654" s="1" customFormat="1" ht="15.75" customHeight="1" x14ac:dyDescent="0.3"/>
    <row r="655" s="1" customFormat="1" ht="15.75" customHeight="1" x14ac:dyDescent="0.3"/>
    <row r="656" s="1" customFormat="1" ht="15.75" customHeight="1" x14ac:dyDescent="0.3"/>
    <row r="657" s="1" customFormat="1" ht="15.75" customHeight="1" x14ac:dyDescent="0.3"/>
    <row r="658" s="1" customFormat="1" ht="15.75" customHeight="1" x14ac:dyDescent="0.3"/>
    <row r="659" s="1" customFormat="1" ht="15.75" customHeight="1" x14ac:dyDescent="0.3"/>
    <row r="660" s="1" customFormat="1" ht="15.75" customHeight="1" x14ac:dyDescent="0.3"/>
    <row r="661" s="1" customFormat="1" ht="15.75" customHeight="1" x14ac:dyDescent="0.3"/>
    <row r="662" s="1" customFormat="1" ht="15.75" customHeight="1" x14ac:dyDescent="0.3"/>
    <row r="663" s="1" customFormat="1" ht="15.75" customHeight="1" x14ac:dyDescent="0.3"/>
    <row r="664" s="1" customFormat="1" ht="15.75" customHeight="1" x14ac:dyDescent="0.3"/>
    <row r="665" s="1" customFormat="1" ht="15.75" customHeight="1" x14ac:dyDescent="0.3"/>
    <row r="666" s="1" customFormat="1" ht="15.75" customHeight="1" x14ac:dyDescent="0.3"/>
    <row r="667" s="1" customFormat="1" ht="15.75" customHeight="1" x14ac:dyDescent="0.3"/>
    <row r="668" s="1" customFormat="1" ht="15.75" customHeight="1" x14ac:dyDescent="0.3"/>
    <row r="669" s="1" customFormat="1" ht="15.75" customHeight="1" x14ac:dyDescent="0.3"/>
    <row r="670" s="1" customFormat="1" ht="15.75" customHeight="1" x14ac:dyDescent="0.3"/>
    <row r="671" s="1" customFormat="1" ht="15.75" customHeight="1" x14ac:dyDescent="0.3"/>
    <row r="672" s="1" customFormat="1" ht="15.75" customHeight="1" x14ac:dyDescent="0.3"/>
    <row r="673" s="1" customFormat="1" ht="15.75" customHeight="1" x14ac:dyDescent="0.3"/>
    <row r="674" s="1" customFormat="1" ht="15.75" customHeight="1" x14ac:dyDescent="0.3"/>
    <row r="675" s="1" customFormat="1" ht="15.75" customHeight="1" x14ac:dyDescent="0.3"/>
    <row r="676" s="1" customFormat="1" ht="15.75" customHeight="1" x14ac:dyDescent="0.3"/>
    <row r="677" s="1" customFormat="1" ht="15.75" customHeight="1" x14ac:dyDescent="0.3"/>
    <row r="678" s="1" customFormat="1" ht="15.75" customHeight="1" x14ac:dyDescent="0.3"/>
    <row r="679" s="1" customFormat="1" ht="15.75" customHeight="1" x14ac:dyDescent="0.3"/>
    <row r="680" s="1" customFormat="1" ht="15.75" customHeight="1" x14ac:dyDescent="0.3"/>
    <row r="681" s="1" customFormat="1" ht="15.75" customHeight="1" x14ac:dyDescent="0.3"/>
    <row r="682" s="1" customFormat="1" ht="15.75" customHeight="1" x14ac:dyDescent="0.3"/>
    <row r="683" s="1" customFormat="1" ht="15.75" customHeight="1" x14ac:dyDescent="0.3"/>
    <row r="684" s="1" customFormat="1" ht="15.75" customHeight="1" x14ac:dyDescent="0.3"/>
    <row r="685" s="1" customFormat="1" ht="15.75" customHeight="1" x14ac:dyDescent="0.3"/>
    <row r="686" s="1" customFormat="1" ht="15.75" customHeight="1" x14ac:dyDescent="0.3"/>
    <row r="687" s="1" customFormat="1" ht="15.75" customHeight="1" x14ac:dyDescent="0.3"/>
    <row r="688" s="1" customFormat="1" ht="15.75" customHeight="1" x14ac:dyDescent="0.3"/>
    <row r="689" s="1" customFormat="1" ht="15.75" customHeight="1" x14ac:dyDescent="0.3"/>
    <row r="690" s="1" customFormat="1" ht="15.75" customHeight="1" x14ac:dyDescent="0.3"/>
    <row r="691" s="1" customFormat="1" ht="15.75" customHeight="1" x14ac:dyDescent="0.3"/>
    <row r="692" s="1" customFormat="1" ht="15.75" customHeight="1" x14ac:dyDescent="0.3"/>
    <row r="693" s="1" customFormat="1" ht="15.75" customHeight="1" x14ac:dyDescent="0.3"/>
    <row r="694" s="1" customFormat="1" ht="15.75" customHeight="1" x14ac:dyDescent="0.3"/>
    <row r="695" s="1" customFormat="1" ht="15.75" customHeight="1" x14ac:dyDescent="0.3"/>
    <row r="696" s="1" customFormat="1" ht="15.75" customHeight="1" x14ac:dyDescent="0.3"/>
    <row r="697" s="1" customFormat="1" ht="15.75" customHeight="1" x14ac:dyDescent="0.3"/>
    <row r="698" s="1" customFormat="1" ht="15.75" customHeight="1" x14ac:dyDescent="0.3"/>
    <row r="699" s="1" customFormat="1" ht="15.75" customHeight="1" x14ac:dyDescent="0.3"/>
    <row r="700" s="1" customFormat="1" ht="15.75" customHeight="1" x14ac:dyDescent="0.3"/>
    <row r="701" s="1" customFormat="1" ht="15.75" customHeight="1" x14ac:dyDescent="0.3"/>
    <row r="702" s="1" customFormat="1" ht="15.75" customHeight="1" x14ac:dyDescent="0.3"/>
    <row r="703" s="1" customFormat="1" ht="15.75" customHeight="1" x14ac:dyDescent="0.3"/>
    <row r="704" s="1" customFormat="1" ht="15.75" customHeight="1" x14ac:dyDescent="0.3"/>
    <row r="705" s="1" customFormat="1" ht="15.75" customHeight="1" x14ac:dyDescent="0.3"/>
    <row r="706" s="1" customFormat="1" ht="15.75" customHeight="1" x14ac:dyDescent="0.3"/>
    <row r="707" s="1" customFormat="1" ht="15.75" customHeight="1" x14ac:dyDescent="0.3"/>
    <row r="708" s="1" customFormat="1" ht="15.75" customHeight="1" x14ac:dyDescent="0.3"/>
    <row r="709" s="1" customFormat="1" ht="15.75" customHeight="1" x14ac:dyDescent="0.3"/>
    <row r="710" s="1" customFormat="1" ht="15.75" customHeight="1" x14ac:dyDescent="0.3"/>
    <row r="711" s="1" customFormat="1" ht="15.75" customHeight="1" x14ac:dyDescent="0.3"/>
    <row r="712" s="1" customFormat="1" ht="15.75" customHeight="1" x14ac:dyDescent="0.3"/>
    <row r="713" s="1" customFormat="1" ht="15.75" customHeight="1" x14ac:dyDescent="0.3"/>
    <row r="714" s="1" customFormat="1" ht="15.75" customHeight="1" x14ac:dyDescent="0.3"/>
    <row r="715" s="1" customFormat="1" ht="15.75" customHeight="1" x14ac:dyDescent="0.3"/>
    <row r="716" s="1" customFormat="1" ht="15.75" customHeight="1" x14ac:dyDescent="0.3"/>
    <row r="717" s="1" customFormat="1" ht="15.75" customHeight="1" x14ac:dyDescent="0.3"/>
    <row r="718" s="1" customFormat="1" ht="15.75" customHeight="1" x14ac:dyDescent="0.3"/>
    <row r="719" s="1" customFormat="1" ht="15.75" customHeight="1" x14ac:dyDescent="0.3"/>
    <row r="720" s="1" customFormat="1" ht="15.75" customHeight="1" x14ac:dyDescent="0.3"/>
    <row r="721" s="1" customFormat="1" ht="15.75" customHeight="1" x14ac:dyDescent="0.3"/>
    <row r="722" s="1" customFormat="1" ht="15.75" customHeight="1" x14ac:dyDescent="0.3"/>
    <row r="723" s="1" customFormat="1" ht="15.75" customHeight="1" x14ac:dyDescent="0.3"/>
    <row r="724" s="1" customFormat="1" ht="15.75" customHeight="1" x14ac:dyDescent="0.3"/>
    <row r="725" s="1" customFormat="1" ht="15.75" customHeight="1" x14ac:dyDescent="0.3"/>
    <row r="726" s="1" customFormat="1" ht="15.75" customHeight="1" x14ac:dyDescent="0.3"/>
    <row r="727" s="1" customFormat="1" ht="15.75" customHeight="1" x14ac:dyDescent="0.3"/>
    <row r="728" s="1" customFormat="1" ht="15.75" customHeight="1" x14ac:dyDescent="0.3"/>
    <row r="729" s="1" customFormat="1" ht="15.75" customHeight="1" x14ac:dyDescent="0.3"/>
    <row r="730" s="1" customFormat="1" ht="15.75" customHeight="1" x14ac:dyDescent="0.3"/>
    <row r="731" s="1" customFormat="1" ht="15.75" customHeight="1" x14ac:dyDescent="0.3"/>
    <row r="732" s="1" customFormat="1" ht="15.75" customHeight="1" x14ac:dyDescent="0.3"/>
    <row r="733" s="1" customFormat="1" ht="15.75" customHeight="1" x14ac:dyDescent="0.3"/>
    <row r="734" s="1" customFormat="1" ht="15.75" customHeight="1" x14ac:dyDescent="0.3"/>
    <row r="735" s="1" customFormat="1" ht="15.75" customHeight="1" x14ac:dyDescent="0.3"/>
    <row r="736" s="1" customFormat="1" ht="15.75" customHeight="1" x14ac:dyDescent="0.3"/>
    <row r="737" s="1" customFormat="1" ht="15.75" customHeight="1" x14ac:dyDescent="0.3"/>
    <row r="738" s="1" customFormat="1" ht="15.75" customHeight="1" x14ac:dyDescent="0.3"/>
    <row r="739" s="1" customFormat="1" ht="15.75" customHeight="1" x14ac:dyDescent="0.3"/>
    <row r="740" s="1" customFormat="1" ht="15.75" customHeight="1" x14ac:dyDescent="0.3"/>
    <row r="741" s="1" customFormat="1" ht="15.75" customHeight="1" x14ac:dyDescent="0.3"/>
    <row r="742" s="1" customFormat="1" ht="15.75" customHeight="1" x14ac:dyDescent="0.3"/>
    <row r="743" s="1" customFormat="1" ht="15.75" customHeight="1" x14ac:dyDescent="0.3"/>
    <row r="744" s="1" customFormat="1" ht="15.75" customHeight="1" x14ac:dyDescent="0.3"/>
    <row r="745" s="1" customFormat="1" ht="15.75" customHeight="1" x14ac:dyDescent="0.3"/>
    <row r="746" s="1" customFormat="1" ht="15.75" customHeight="1" x14ac:dyDescent="0.3"/>
    <row r="747" s="1" customFormat="1" ht="15.75" customHeight="1" x14ac:dyDescent="0.3"/>
    <row r="748" s="1" customFormat="1" ht="15.75" customHeight="1" x14ac:dyDescent="0.3"/>
    <row r="749" s="1" customFormat="1" ht="15.75" customHeight="1" x14ac:dyDescent="0.3"/>
    <row r="750" s="1" customFormat="1" ht="15.75" customHeight="1" x14ac:dyDescent="0.3"/>
    <row r="751" s="1" customFormat="1" ht="15.75" customHeight="1" x14ac:dyDescent="0.3"/>
    <row r="752" s="1" customFormat="1" ht="15.75" customHeight="1" x14ac:dyDescent="0.3"/>
    <row r="753" s="1" customFormat="1" ht="15.75" customHeight="1" x14ac:dyDescent="0.3"/>
    <row r="754" s="1" customFormat="1" ht="15.75" customHeight="1" x14ac:dyDescent="0.3"/>
    <row r="755" s="1" customFormat="1" ht="15.75" customHeight="1" x14ac:dyDescent="0.3"/>
    <row r="756" s="1" customFormat="1" ht="15.75" customHeight="1" x14ac:dyDescent="0.3"/>
    <row r="757" s="1" customFormat="1" ht="15.75" customHeight="1" x14ac:dyDescent="0.3"/>
    <row r="758" s="1" customFormat="1" ht="15.75" customHeight="1" x14ac:dyDescent="0.3"/>
    <row r="759" s="1" customFormat="1" ht="15.75" customHeight="1" x14ac:dyDescent="0.3"/>
    <row r="760" s="1" customFormat="1" ht="15.75" customHeight="1" x14ac:dyDescent="0.3"/>
    <row r="761" s="1" customFormat="1" ht="15.75" customHeight="1" x14ac:dyDescent="0.3"/>
    <row r="762" s="1" customFormat="1" ht="15.75" customHeight="1" x14ac:dyDescent="0.3"/>
    <row r="763" s="1" customFormat="1" ht="15.75" customHeight="1" x14ac:dyDescent="0.3"/>
    <row r="764" s="1" customFormat="1" ht="15.75" customHeight="1" x14ac:dyDescent="0.3"/>
    <row r="765" s="1" customFormat="1" ht="15.75" customHeight="1" x14ac:dyDescent="0.3"/>
    <row r="766" s="1" customFormat="1" ht="15.75" customHeight="1" x14ac:dyDescent="0.3"/>
    <row r="767" s="1" customFormat="1" ht="15.75" customHeight="1" x14ac:dyDescent="0.3"/>
    <row r="768" s="1" customFormat="1" ht="15.75" customHeight="1" x14ac:dyDescent="0.3"/>
    <row r="769" s="1" customFormat="1" ht="15.75" customHeight="1" x14ac:dyDescent="0.3"/>
    <row r="770" s="1" customFormat="1" ht="15.75" customHeight="1" x14ac:dyDescent="0.3"/>
    <row r="771" s="1" customFormat="1" ht="15.75" customHeight="1" x14ac:dyDescent="0.3"/>
    <row r="772" s="1" customFormat="1" ht="15.75" customHeight="1" x14ac:dyDescent="0.3"/>
    <row r="773" s="1" customFormat="1" ht="15.75" customHeight="1" x14ac:dyDescent="0.3"/>
    <row r="774" s="1" customFormat="1" ht="15.75" customHeight="1" x14ac:dyDescent="0.3"/>
    <row r="775" s="1" customFormat="1" ht="15.75" customHeight="1" x14ac:dyDescent="0.3"/>
    <row r="776" s="1" customFormat="1" ht="15.75" customHeight="1" x14ac:dyDescent="0.3"/>
    <row r="777" s="1" customFormat="1" ht="15.75" customHeight="1" x14ac:dyDescent="0.3"/>
    <row r="778" s="1" customFormat="1" ht="15.75" customHeight="1" x14ac:dyDescent="0.3"/>
    <row r="779" s="1" customFormat="1" ht="15.75" customHeight="1" x14ac:dyDescent="0.3"/>
    <row r="780" s="1" customFormat="1" ht="15.75" customHeight="1" x14ac:dyDescent="0.3"/>
    <row r="781" s="1" customFormat="1" ht="15.75" customHeight="1" x14ac:dyDescent="0.3"/>
    <row r="782" s="1" customFormat="1" ht="15.75" customHeight="1" x14ac:dyDescent="0.3"/>
    <row r="783" s="1" customFormat="1" ht="15.75" customHeight="1" x14ac:dyDescent="0.3"/>
    <row r="784" s="1" customFormat="1" ht="15.75" customHeight="1" x14ac:dyDescent="0.3"/>
    <row r="785" s="1" customFormat="1" ht="15.75" customHeight="1" x14ac:dyDescent="0.3"/>
    <row r="786" s="1" customFormat="1" ht="15.75" customHeight="1" x14ac:dyDescent="0.3"/>
    <row r="787" s="1" customFormat="1" ht="15.75" customHeight="1" x14ac:dyDescent="0.3"/>
    <row r="788" s="1" customFormat="1" ht="15.75" customHeight="1" x14ac:dyDescent="0.3"/>
    <row r="789" s="1" customFormat="1" ht="15.75" customHeight="1" x14ac:dyDescent="0.3"/>
    <row r="790" s="1" customFormat="1" ht="15.75" customHeight="1" x14ac:dyDescent="0.3"/>
    <row r="791" s="1" customFormat="1" ht="15.75" customHeight="1" x14ac:dyDescent="0.3"/>
    <row r="792" s="1" customFormat="1" ht="15.75" customHeight="1" x14ac:dyDescent="0.3"/>
    <row r="793" s="1" customFormat="1" ht="15.75" customHeight="1" x14ac:dyDescent="0.3"/>
    <row r="794" s="1" customFormat="1" ht="15.75" customHeight="1" x14ac:dyDescent="0.3"/>
    <row r="795" s="1" customFormat="1" ht="15.75" customHeight="1" x14ac:dyDescent="0.3"/>
    <row r="796" s="1" customFormat="1" ht="15.75" customHeight="1" x14ac:dyDescent="0.3"/>
    <row r="797" s="1" customFormat="1" ht="15.75" customHeight="1" x14ac:dyDescent="0.3"/>
    <row r="798" s="1" customFormat="1" ht="15.75" customHeight="1" x14ac:dyDescent="0.3"/>
    <row r="799" s="1" customFormat="1" ht="15.75" customHeight="1" x14ac:dyDescent="0.3"/>
    <row r="800" s="1" customFormat="1" ht="15.75" customHeight="1" x14ac:dyDescent="0.3"/>
    <row r="801" s="1" customFormat="1" ht="15.75" customHeight="1" x14ac:dyDescent="0.3"/>
    <row r="802" s="1" customFormat="1" ht="15.75" customHeight="1" x14ac:dyDescent="0.3"/>
    <row r="803" s="1" customFormat="1" ht="15.75" customHeight="1" x14ac:dyDescent="0.3"/>
    <row r="804" s="1" customFormat="1" ht="15.75" customHeight="1" x14ac:dyDescent="0.3"/>
    <row r="805" s="1" customFormat="1" ht="15.75" customHeight="1" x14ac:dyDescent="0.3"/>
    <row r="806" s="1" customFormat="1" ht="15.75" customHeight="1" x14ac:dyDescent="0.3"/>
    <row r="807" s="1" customFormat="1" ht="15.75" customHeight="1" x14ac:dyDescent="0.3"/>
    <row r="808" s="1" customFormat="1" ht="15.75" customHeight="1" x14ac:dyDescent="0.3"/>
    <row r="809" s="1" customFormat="1" ht="15.75" customHeight="1" x14ac:dyDescent="0.3"/>
    <row r="810" s="1" customFormat="1" ht="15.75" customHeight="1" x14ac:dyDescent="0.3"/>
    <row r="811" s="1" customFormat="1" ht="15.75" customHeight="1" x14ac:dyDescent="0.3"/>
    <row r="812" s="1" customFormat="1" ht="15.75" customHeight="1" x14ac:dyDescent="0.3"/>
    <row r="813" s="1" customFormat="1" ht="15.75" customHeight="1" x14ac:dyDescent="0.3"/>
    <row r="814" s="1" customFormat="1" ht="15.75" customHeight="1" x14ac:dyDescent="0.3"/>
    <row r="815" s="1" customFormat="1" ht="15.75" customHeight="1" x14ac:dyDescent="0.3"/>
    <row r="816" s="1" customFormat="1" ht="15.75" customHeight="1" x14ac:dyDescent="0.3"/>
    <row r="817" s="1" customFormat="1" ht="15.75" customHeight="1" x14ac:dyDescent="0.3"/>
    <row r="818" s="1" customFormat="1" ht="15.75" customHeight="1" x14ac:dyDescent="0.3"/>
    <row r="819" s="1" customFormat="1" ht="15.75" customHeight="1" x14ac:dyDescent="0.3"/>
    <row r="820" s="1" customFormat="1" ht="15.75" customHeight="1" x14ac:dyDescent="0.3"/>
    <row r="821" s="1" customFormat="1" ht="15.75" customHeight="1" x14ac:dyDescent="0.3"/>
    <row r="822" s="1" customFormat="1" ht="15.75" customHeight="1" x14ac:dyDescent="0.3"/>
    <row r="823" s="1" customFormat="1" ht="15.75" customHeight="1" x14ac:dyDescent="0.3"/>
    <row r="824" s="1" customFormat="1" ht="15.75" customHeight="1" x14ac:dyDescent="0.3"/>
    <row r="825" s="1" customFormat="1" ht="15.75" customHeight="1" x14ac:dyDescent="0.3"/>
    <row r="826" s="1" customFormat="1" ht="15.75" customHeight="1" x14ac:dyDescent="0.3"/>
    <row r="827" s="1" customFormat="1" ht="15.75" customHeight="1" x14ac:dyDescent="0.3"/>
    <row r="828" s="1" customFormat="1" ht="15.75" customHeight="1" x14ac:dyDescent="0.3"/>
    <row r="829" s="1" customFormat="1" ht="15.75" customHeight="1" x14ac:dyDescent="0.3"/>
    <row r="830" s="1" customFormat="1" ht="15.75" customHeight="1" x14ac:dyDescent="0.3"/>
    <row r="831" s="1" customFormat="1" ht="15.75" customHeight="1" x14ac:dyDescent="0.3"/>
    <row r="832" s="1" customFormat="1" ht="15.75" customHeight="1" x14ac:dyDescent="0.3"/>
    <row r="833" s="1" customFormat="1" ht="15.75" customHeight="1" x14ac:dyDescent="0.3"/>
    <row r="834" s="1" customFormat="1" ht="15.75" customHeight="1" x14ac:dyDescent="0.3"/>
    <row r="835" s="1" customFormat="1" ht="15.75" customHeight="1" x14ac:dyDescent="0.3"/>
    <row r="836" s="1" customFormat="1" ht="15.75" customHeight="1" x14ac:dyDescent="0.3"/>
    <row r="837" s="1" customFormat="1" ht="15.75" customHeight="1" x14ac:dyDescent="0.3"/>
    <row r="838" s="1" customFormat="1" ht="15.75" customHeight="1" x14ac:dyDescent="0.3"/>
    <row r="839" s="1" customFormat="1" ht="15.75" customHeight="1" x14ac:dyDescent="0.3"/>
    <row r="840" s="1" customFormat="1" ht="15.75" customHeight="1" x14ac:dyDescent="0.3"/>
    <row r="841" s="1" customFormat="1" ht="15.75" customHeight="1" x14ac:dyDescent="0.3"/>
    <row r="842" s="1" customFormat="1" ht="15.75" customHeight="1" x14ac:dyDescent="0.3"/>
    <row r="843" s="1" customFormat="1" ht="15.75" customHeight="1" x14ac:dyDescent="0.3"/>
    <row r="844" s="1" customFormat="1" ht="15.75" customHeight="1" x14ac:dyDescent="0.3"/>
    <row r="845" s="1" customFormat="1" ht="15.75" customHeight="1" x14ac:dyDescent="0.3"/>
    <row r="846" s="1" customFormat="1" ht="15.75" customHeight="1" x14ac:dyDescent="0.3"/>
    <row r="847" s="1" customFormat="1" ht="15.75" customHeight="1" x14ac:dyDescent="0.3"/>
    <row r="848" s="1" customFormat="1" ht="15.75" customHeight="1" x14ac:dyDescent="0.3"/>
    <row r="849" s="1" customFormat="1" ht="15.75" customHeight="1" x14ac:dyDescent="0.3"/>
    <row r="850" s="1" customFormat="1" ht="15.75" customHeight="1" x14ac:dyDescent="0.3"/>
    <row r="851" s="1" customFormat="1" ht="15.75" customHeight="1" x14ac:dyDescent="0.3"/>
    <row r="852" s="1" customFormat="1" ht="15.75" customHeight="1" x14ac:dyDescent="0.3"/>
    <row r="853" s="1" customFormat="1" ht="15.75" customHeight="1" x14ac:dyDescent="0.3"/>
    <row r="854" s="1" customFormat="1" ht="15.75" customHeight="1" x14ac:dyDescent="0.3"/>
    <row r="855" s="1" customFormat="1" ht="15.75" customHeight="1" x14ac:dyDescent="0.3"/>
    <row r="856" s="1" customFormat="1" ht="15.75" customHeight="1" x14ac:dyDescent="0.3"/>
    <row r="857" s="1" customFormat="1" ht="15.75" customHeight="1" x14ac:dyDescent="0.3"/>
    <row r="858" s="1" customFormat="1" ht="15.75" customHeight="1" x14ac:dyDescent="0.3"/>
    <row r="859" s="1" customFormat="1" ht="15.75" customHeight="1" x14ac:dyDescent="0.3"/>
    <row r="860" s="1" customFormat="1" ht="15.75" customHeight="1" x14ac:dyDescent="0.3"/>
    <row r="861" s="1" customFormat="1" ht="15.75" customHeight="1" x14ac:dyDescent="0.3"/>
    <row r="862" s="1" customFormat="1" ht="15.75" customHeight="1" x14ac:dyDescent="0.3"/>
    <row r="863" s="1" customFormat="1" ht="15.75" customHeight="1" x14ac:dyDescent="0.3"/>
    <row r="864" s="1" customFormat="1" ht="15.75" customHeight="1" x14ac:dyDescent="0.3"/>
    <row r="865" s="1" customFormat="1" ht="15.75" customHeight="1" x14ac:dyDescent="0.3"/>
    <row r="866" s="1" customFormat="1" ht="15.75" customHeight="1" x14ac:dyDescent="0.3"/>
    <row r="867" s="1" customFormat="1" ht="15.75" customHeight="1" x14ac:dyDescent="0.3"/>
    <row r="868" s="1" customFormat="1" ht="15.75" customHeight="1" x14ac:dyDescent="0.3"/>
    <row r="869" s="1" customFormat="1" ht="15.75" customHeight="1" x14ac:dyDescent="0.3"/>
    <row r="870" s="1" customFormat="1" ht="15.75" customHeight="1" x14ac:dyDescent="0.3"/>
    <row r="871" s="1" customFormat="1" ht="15.75" customHeight="1" x14ac:dyDescent="0.3"/>
    <row r="872" s="1" customFormat="1" ht="15.75" customHeight="1" x14ac:dyDescent="0.3"/>
    <row r="873" s="1" customFormat="1" ht="15.75" customHeight="1" x14ac:dyDescent="0.3"/>
    <row r="874" s="1" customFormat="1" ht="15.75" customHeight="1" x14ac:dyDescent="0.3"/>
    <row r="875" s="1" customFormat="1" ht="15.75" customHeight="1" x14ac:dyDescent="0.3"/>
    <row r="876" s="1" customFormat="1" ht="15.75" customHeight="1" x14ac:dyDescent="0.3"/>
    <row r="877" s="1" customFormat="1" ht="15.75" customHeight="1" x14ac:dyDescent="0.3"/>
    <row r="878" s="1" customFormat="1" ht="15.75" customHeight="1" x14ac:dyDescent="0.3"/>
    <row r="879" s="1" customFormat="1" ht="15.75" customHeight="1" x14ac:dyDescent="0.3"/>
    <row r="880" s="1" customFormat="1" ht="15.75" customHeight="1" x14ac:dyDescent="0.3"/>
    <row r="881" s="1" customFormat="1" ht="15.75" customHeight="1" x14ac:dyDescent="0.3"/>
    <row r="882" s="1" customFormat="1" ht="15.75" customHeight="1" x14ac:dyDescent="0.3"/>
    <row r="883" s="1" customFormat="1" ht="15.75" customHeight="1" x14ac:dyDescent="0.3"/>
    <row r="884" s="1" customFormat="1" ht="15.75" customHeight="1" x14ac:dyDescent="0.3"/>
    <row r="885" s="1" customFormat="1" ht="15.75" customHeight="1" x14ac:dyDescent="0.3"/>
    <row r="886" s="1" customFormat="1" ht="15.75" customHeight="1" x14ac:dyDescent="0.3"/>
    <row r="887" s="1" customFormat="1" ht="15.75" customHeight="1" x14ac:dyDescent="0.3"/>
    <row r="888" s="1" customFormat="1" ht="15.75" customHeight="1" x14ac:dyDescent="0.3"/>
    <row r="889" s="1" customFormat="1" ht="15.75" customHeight="1" x14ac:dyDescent="0.3"/>
    <row r="890" s="1" customFormat="1" ht="15.75" customHeight="1" x14ac:dyDescent="0.3"/>
    <row r="891" s="1" customFormat="1" ht="15.75" customHeight="1" x14ac:dyDescent="0.3"/>
    <row r="892" s="1" customFormat="1" ht="15.75" customHeight="1" x14ac:dyDescent="0.3"/>
    <row r="893" s="1" customFormat="1" ht="15.75" customHeight="1" x14ac:dyDescent="0.3"/>
    <row r="894" s="1" customFormat="1" ht="15.75" customHeight="1" x14ac:dyDescent="0.3"/>
    <row r="895" s="1" customFormat="1" ht="15.75" customHeight="1" x14ac:dyDescent="0.3"/>
    <row r="896" s="1" customFormat="1" ht="15.75" customHeight="1" x14ac:dyDescent="0.3"/>
    <row r="897" s="1" customFormat="1" ht="15.75" customHeight="1" x14ac:dyDescent="0.3"/>
    <row r="898" s="1" customFormat="1" ht="15.75" customHeight="1" x14ac:dyDescent="0.3"/>
    <row r="899" s="1" customFormat="1" ht="15.75" customHeight="1" x14ac:dyDescent="0.3"/>
    <row r="900" s="1" customFormat="1" ht="15.75" customHeight="1" x14ac:dyDescent="0.3"/>
    <row r="901" s="1" customFormat="1" ht="15.75" customHeight="1" x14ac:dyDescent="0.3"/>
    <row r="902" s="1" customFormat="1" ht="15.75" customHeight="1" x14ac:dyDescent="0.3"/>
    <row r="903" s="1" customFormat="1" ht="15.75" customHeight="1" x14ac:dyDescent="0.3"/>
    <row r="904" s="1" customFormat="1" ht="15.75" customHeight="1" x14ac:dyDescent="0.3"/>
    <row r="905" s="1" customFormat="1" ht="15.75" customHeight="1" x14ac:dyDescent="0.3"/>
    <row r="906" s="1" customFormat="1" ht="15.75" customHeight="1" x14ac:dyDescent="0.3"/>
    <row r="907" s="1" customFormat="1" ht="15.75" customHeight="1" x14ac:dyDescent="0.3"/>
    <row r="908" s="1" customFormat="1" ht="15.75" customHeight="1" x14ac:dyDescent="0.3"/>
    <row r="909" s="1" customFormat="1" ht="15.75" customHeight="1" x14ac:dyDescent="0.3"/>
    <row r="910" s="1" customFormat="1" ht="15.75" customHeight="1" x14ac:dyDescent="0.3"/>
    <row r="911" s="1" customFormat="1" ht="15.75" customHeight="1" x14ac:dyDescent="0.3"/>
    <row r="912" s="1" customFormat="1" ht="15.75" customHeight="1" x14ac:dyDescent="0.3"/>
    <row r="913" s="1" customFormat="1" ht="15.75" customHeight="1" x14ac:dyDescent="0.3"/>
    <row r="914" s="1" customFormat="1" ht="15.75" customHeight="1" x14ac:dyDescent="0.3"/>
    <row r="915" s="1" customFormat="1" ht="15.75" customHeight="1" x14ac:dyDescent="0.3"/>
    <row r="916" s="1" customFormat="1" ht="15.75" customHeight="1" x14ac:dyDescent="0.3"/>
    <row r="917" s="1" customFormat="1" ht="15.75" customHeight="1" x14ac:dyDescent="0.3"/>
    <row r="918" s="1" customFormat="1" ht="15.75" customHeight="1" x14ac:dyDescent="0.3"/>
    <row r="919" s="1" customFormat="1" ht="15.75" customHeight="1" x14ac:dyDescent="0.3"/>
    <row r="920" s="1" customFormat="1" ht="15.75" customHeight="1" x14ac:dyDescent="0.3"/>
    <row r="921" s="1" customFormat="1" ht="15.75" customHeight="1" x14ac:dyDescent="0.3"/>
    <row r="922" s="1" customFormat="1" ht="15.75" customHeight="1" x14ac:dyDescent="0.3"/>
    <row r="923" s="1" customFormat="1" ht="15.75" customHeight="1" x14ac:dyDescent="0.3"/>
    <row r="924" s="1" customFormat="1" ht="15.75" customHeight="1" x14ac:dyDescent="0.3"/>
    <row r="925" s="1" customFormat="1" ht="15.75" customHeight="1" x14ac:dyDescent="0.3"/>
    <row r="926" s="1" customFormat="1" ht="15.75" customHeight="1" x14ac:dyDescent="0.3"/>
    <row r="927" s="1" customFormat="1" ht="15.75" customHeight="1" x14ac:dyDescent="0.3"/>
    <row r="928" s="1" customFormat="1" ht="15.75" customHeight="1" x14ac:dyDescent="0.3"/>
    <row r="929" s="1" customFormat="1" ht="15.75" customHeight="1" x14ac:dyDescent="0.3"/>
    <row r="930" s="1" customFormat="1" ht="15.75" customHeight="1" x14ac:dyDescent="0.3"/>
    <row r="931" s="1" customFormat="1" ht="15.75" customHeight="1" x14ac:dyDescent="0.3"/>
    <row r="932" s="1" customFormat="1" ht="15.75" customHeight="1" x14ac:dyDescent="0.3"/>
    <row r="933" s="1" customFormat="1" ht="15.75" customHeight="1" x14ac:dyDescent="0.3"/>
    <row r="934" s="1" customFormat="1" ht="15.75" customHeight="1" x14ac:dyDescent="0.3"/>
    <row r="935" s="1" customFormat="1" ht="15.75" customHeight="1" x14ac:dyDescent="0.3"/>
    <row r="936" s="1" customFormat="1" ht="15.75" customHeight="1" x14ac:dyDescent="0.3"/>
    <row r="937" s="1" customFormat="1" ht="15.75" customHeight="1" x14ac:dyDescent="0.3"/>
    <row r="938" s="1" customFormat="1" ht="15.75" customHeight="1" x14ac:dyDescent="0.3"/>
    <row r="939" s="1" customFormat="1" ht="15.75" customHeight="1" x14ac:dyDescent="0.3"/>
    <row r="940" s="1" customFormat="1" ht="15.75" customHeight="1" x14ac:dyDescent="0.3"/>
    <row r="941" s="1" customFormat="1" ht="15.75" customHeight="1" x14ac:dyDescent="0.3"/>
    <row r="942" s="1" customFormat="1" ht="15.75" customHeight="1" x14ac:dyDescent="0.3"/>
    <row r="943" s="1" customFormat="1" ht="15.75" customHeight="1" x14ac:dyDescent="0.3"/>
    <row r="944" s="1" customFormat="1" ht="15.75" customHeight="1" x14ac:dyDescent="0.3"/>
    <row r="945" s="1" customFormat="1" ht="15.75" customHeight="1" x14ac:dyDescent="0.3"/>
    <row r="946" s="1" customFormat="1" ht="15.75" customHeight="1" x14ac:dyDescent="0.3"/>
    <row r="947" s="1" customFormat="1" ht="15.75" customHeight="1" x14ac:dyDescent="0.3"/>
    <row r="948" s="1" customFormat="1" ht="15.75" customHeight="1" x14ac:dyDescent="0.3"/>
    <row r="949" s="1" customFormat="1" ht="15.75" customHeight="1" x14ac:dyDescent="0.3"/>
    <row r="950" s="1" customFormat="1" ht="15.75" customHeight="1" x14ac:dyDescent="0.3"/>
    <row r="951" s="1" customFormat="1" ht="15.75" customHeight="1" x14ac:dyDescent="0.3"/>
    <row r="952" s="1" customFormat="1" ht="15.75" customHeight="1" x14ac:dyDescent="0.3"/>
    <row r="953" s="1" customFormat="1" ht="15.75" customHeight="1" x14ac:dyDescent="0.3"/>
    <row r="954" s="1" customFormat="1" ht="15.75" customHeight="1" x14ac:dyDescent="0.3"/>
    <row r="955" s="1" customFormat="1" ht="15.75" customHeight="1" x14ac:dyDescent="0.3"/>
    <row r="956" s="1" customFormat="1" ht="15.75" customHeight="1" x14ac:dyDescent="0.3"/>
    <row r="957" s="1" customFormat="1" ht="15.75" customHeight="1" x14ac:dyDescent="0.3"/>
    <row r="958" s="1" customFormat="1" ht="15.75" customHeight="1" x14ac:dyDescent="0.3"/>
    <row r="959" s="1" customFormat="1" ht="15.75" customHeight="1" x14ac:dyDescent="0.3"/>
    <row r="960" s="1" customFormat="1" ht="15.75" customHeight="1" x14ac:dyDescent="0.3"/>
    <row r="961" s="1" customFormat="1" ht="15.75" customHeight="1" x14ac:dyDescent="0.3"/>
    <row r="962" s="1" customFormat="1" ht="15.75" customHeight="1" x14ac:dyDescent="0.3"/>
    <row r="963" s="1" customFormat="1" ht="15.75" customHeight="1" x14ac:dyDescent="0.3"/>
    <row r="964" s="1" customFormat="1" ht="15.75" customHeight="1" x14ac:dyDescent="0.3"/>
    <row r="965" s="1" customFormat="1" ht="15.75" customHeight="1" x14ac:dyDescent="0.3"/>
    <row r="966" s="1" customFormat="1" ht="15.75" customHeight="1" x14ac:dyDescent="0.3"/>
    <row r="967" s="1" customFormat="1" ht="15.75" customHeight="1" x14ac:dyDescent="0.3"/>
    <row r="968" s="1" customFormat="1" ht="15.75" customHeight="1" x14ac:dyDescent="0.3"/>
    <row r="969" s="1" customFormat="1" ht="15.75" customHeight="1" x14ac:dyDescent="0.3"/>
    <row r="970" s="1" customFormat="1" ht="15.75" customHeight="1" x14ac:dyDescent="0.3"/>
    <row r="971" s="1" customFormat="1" ht="15.75" customHeight="1" x14ac:dyDescent="0.3"/>
    <row r="972" s="1" customFormat="1" ht="15.75" customHeight="1" x14ac:dyDescent="0.3"/>
    <row r="973" s="1" customFormat="1" ht="15.75" customHeight="1" x14ac:dyDescent="0.3"/>
    <row r="974" s="1" customFormat="1" ht="15.75" customHeight="1" x14ac:dyDescent="0.3"/>
    <row r="975" s="1" customFormat="1" ht="15.75" customHeight="1" x14ac:dyDescent="0.3"/>
    <row r="976" s="1" customFormat="1" ht="15.75" customHeight="1" x14ac:dyDescent="0.3"/>
    <row r="977" s="1" customFormat="1" ht="15.75" customHeight="1" x14ac:dyDescent="0.3"/>
    <row r="978" s="1" customFormat="1" ht="15.75" customHeight="1" x14ac:dyDescent="0.3"/>
    <row r="979" s="1" customFormat="1" ht="15.75" customHeight="1" x14ac:dyDescent="0.3"/>
    <row r="980" s="1" customFormat="1" ht="15.75" customHeight="1" x14ac:dyDescent="0.3"/>
    <row r="981" s="1" customFormat="1" ht="15.75" customHeight="1" x14ac:dyDescent="0.3"/>
    <row r="982" s="1" customFormat="1" ht="15.75" customHeight="1" x14ac:dyDescent="0.3"/>
    <row r="983" s="1" customFormat="1" ht="15.75" customHeight="1" x14ac:dyDescent="0.3"/>
    <row r="984" s="1" customFormat="1" ht="15.75" customHeight="1" x14ac:dyDescent="0.3"/>
    <row r="985" s="1" customFormat="1" ht="15.75" customHeight="1" x14ac:dyDescent="0.3"/>
    <row r="986" s="1" customFormat="1" ht="15.75" customHeight="1" x14ac:dyDescent="0.3"/>
    <row r="987" s="1" customFormat="1" ht="15.75" customHeight="1" x14ac:dyDescent="0.3"/>
    <row r="988" s="1" customFormat="1" ht="15.75" customHeight="1" x14ac:dyDescent="0.3"/>
    <row r="989" s="1" customFormat="1" ht="15.75" customHeight="1" x14ac:dyDescent="0.3"/>
    <row r="990" s="1" customFormat="1" ht="15.75" customHeight="1" x14ac:dyDescent="0.3"/>
    <row r="991" s="1" customFormat="1" ht="15.75" customHeight="1" x14ac:dyDescent="0.3"/>
    <row r="992" s="1" customFormat="1" ht="15.75" customHeight="1" x14ac:dyDescent="0.3"/>
    <row r="993" s="1" customFormat="1" ht="15.75" customHeight="1" x14ac:dyDescent="0.3"/>
    <row r="994" s="1" customFormat="1" ht="15.75" customHeight="1" x14ac:dyDescent="0.3"/>
    <row r="995" s="1" customFormat="1" ht="15.75" customHeight="1" x14ac:dyDescent="0.3"/>
    <row r="996" s="1" customFormat="1" ht="15.75" customHeight="1" x14ac:dyDescent="0.3"/>
    <row r="997" s="1" customFormat="1" ht="15.75" customHeight="1" x14ac:dyDescent="0.3"/>
    <row r="998" s="1" customFormat="1" ht="15.75" customHeight="1" x14ac:dyDescent="0.3"/>
    <row r="999" s="1" customFormat="1" ht="15.75" customHeight="1" x14ac:dyDescent="0.3"/>
    <row r="1000" s="1" customFormat="1" ht="15.75" customHeight="1" x14ac:dyDescent="0.3"/>
  </sheetData>
  <mergeCells count="45">
    <mergeCell ref="B343:H343"/>
    <mergeCell ref="B360:H360"/>
    <mergeCell ref="B377:H377"/>
    <mergeCell ref="B209:H209"/>
    <mergeCell ref="B229:H229"/>
    <mergeCell ref="B249:H250"/>
    <mergeCell ref="B263:H264"/>
    <mergeCell ref="B283:H283"/>
    <mergeCell ref="B303:H303"/>
    <mergeCell ref="B325:H325"/>
    <mergeCell ref="B92:G92"/>
    <mergeCell ref="B95:G95"/>
    <mergeCell ref="C96:G96"/>
    <mergeCell ref="C98:G98"/>
    <mergeCell ref="B99:H100"/>
    <mergeCell ref="B119:H119"/>
    <mergeCell ref="B137:H137"/>
    <mergeCell ref="B158:H158"/>
    <mergeCell ref="B171:H171"/>
    <mergeCell ref="B189:H189"/>
    <mergeCell ref="B59:H59"/>
    <mergeCell ref="B64:G64"/>
    <mergeCell ref="C66:G66"/>
    <mergeCell ref="C68:G68"/>
    <mergeCell ref="B72:H73"/>
    <mergeCell ref="C78:G78"/>
    <mergeCell ref="C80:G80"/>
    <mergeCell ref="C82:G82"/>
    <mergeCell ref="B86:H87"/>
    <mergeCell ref="C90:G90"/>
    <mergeCell ref="B16:H16"/>
    <mergeCell ref="C24:G24"/>
    <mergeCell ref="C34:G34"/>
    <mergeCell ref="C36:G36"/>
    <mergeCell ref="B40:H40"/>
    <mergeCell ref="C47:G47"/>
    <mergeCell ref="B52:G52"/>
    <mergeCell ref="B55:G55"/>
    <mergeCell ref="C56:G56"/>
    <mergeCell ref="C58:G58"/>
    <mergeCell ref="B2:H2"/>
    <mergeCell ref="B3:H3"/>
    <mergeCell ref="B8:G8"/>
    <mergeCell ref="C10:G10"/>
    <mergeCell ref="C12:G12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9599-7C97-4D9B-9BB7-70BCE251076E}">
  <sheetPr>
    <outlinePr summaryBelow="0" summaryRight="0"/>
    <pageSetUpPr fitToPage="1"/>
  </sheetPr>
  <dimension ref="B1:M1000"/>
  <sheetViews>
    <sheetView topLeftCell="A4" workbookViewId="0">
      <selection activeCell="D4" sqref="D4"/>
    </sheetView>
  </sheetViews>
  <sheetFormatPr defaultColWidth="12.6640625" defaultRowHeight="15" customHeight="1" x14ac:dyDescent="0.3"/>
  <cols>
    <col min="1" max="3" width="12.6640625" style="1"/>
    <col min="4" max="4" width="34" style="1" customWidth="1"/>
    <col min="5" max="5" width="12.6640625" style="1"/>
    <col min="6" max="6" width="16.109375" style="1" customWidth="1"/>
    <col min="7" max="7" width="27.109375" style="1" customWidth="1"/>
    <col min="8" max="16384" width="12.6640625" style="1"/>
  </cols>
  <sheetData>
    <row r="1" spans="2:7" ht="15.75" customHeight="1" x14ac:dyDescent="0.3"/>
    <row r="2" spans="2:7" ht="15.75" customHeight="1" x14ac:dyDescent="0.3">
      <c r="B2" s="110" t="s">
        <v>106</v>
      </c>
      <c r="C2" s="83"/>
      <c r="D2" s="83"/>
      <c r="E2" s="83"/>
      <c r="F2" s="83"/>
      <c r="G2" s="83"/>
    </row>
    <row r="3" spans="2:7" ht="15.75" customHeight="1" x14ac:dyDescent="0.3">
      <c r="B3" s="83"/>
      <c r="C3" s="83"/>
      <c r="D3" s="83"/>
      <c r="E3" s="83"/>
      <c r="F3" s="83"/>
      <c r="G3" s="83"/>
    </row>
    <row r="4" spans="2:7" ht="15.75" customHeight="1" x14ac:dyDescent="0.3"/>
    <row r="5" spans="2:7" ht="15.75" customHeight="1" x14ac:dyDescent="0.35">
      <c r="B5" s="111" t="s">
        <v>107</v>
      </c>
      <c r="C5" s="112"/>
      <c r="D5" s="112"/>
      <c r="E5" s="112"/>
      <c r="F5" s="112"/>
      <c r="G5" s="112"/>
    </row>
    <row r="6" spans="2:7" ht="15.75" customHeight="1" x14ac:dyDescent="0.3"/>
    <row r="7" spans="2:7" ht="15.75" customHeight="1" x14ac:dyDescent="0.3">
      <c r="B7" s="40" t="s">
        <v>108</v>
      </c>
      <c r="C7" s="41" t="s">
        <v>31</v>
      </c>
      <c r="D7" s="41" t="s">
        <v>109</v>
      </c>
      <c r="E7" s="41" t="s">
        <v>110</v>
      </c>
      <c r="F7" s="41" t="s">
        <v>111</v>
      </c>
      <c r="G7" s="41" t="s">
        <v>112</v>
      </c>
    </row>
    <row r="8" spans="2:7" ht="15.75" customHeight="1" x14ac:dyDescent="0.3">
      <c r="B8" s="42">
        <v>1</v>
      </c>
      <c r="C8" s="43"/>
      <c r="D8" s="44">
        <v>2</v>
      </c>
      <c r="E8" s="44">
        <v>3</v>
      </c>
      <c r="F8" s="44">
        <v>4</v>
      </c>
      <c r="G8" s="44">
        <v>5</v>
      </c>
    </row>
    <row r="9" spans="2:7" ht="15.75" customHeight="1" x14ac:dyDescent="0.3">
      <c r="B9" s="40" t="s">
        <v>113</v>
      </c>
      <c r="C9" s="113" t="s">
        <v>114</v>
      </c>
      <c r="D9" s="81"/>
      <c r="E9" s="45"/>
      <c r="F9" s="45"/>
      <c r="G9" s="46"/>
    </row>
    <row r="10" spans="2:7" ht="15.75" customHeight="1" x14ac:dyDescent="0.3">
      <c r="B10" s="47">
        <v>1</v>
      </c>
      <c r="C10" s="48" t="s">
        <v>23</v>
      </c>
      <c r="D10" s="49" t="s">
        <v>24</v>
      </c>
      <c r="E10" s="50" t="s">
        <v>16</v>
      </c>
      <c r="F10" s="51">
        <v>100000</v>
      </c>
      <c r="G10" s="52"/>
    </row>
    <row r="11" spans="2:7" ht="15.75" customHeight="1" x14ac:dyDescent="0.3">
      <c r="B11" s="47">
        <v>2</v>
      </c>
      <c r="C11" s="48" t="s">
        <v>21</v>
      </c>
      <c r="D11" s="49" t="s">
        <v>58</v>
      </c>
      <c r="E11" s="50" t="s">
        <v>16</v>
      </c>
      <c r="F11" s="51">
        <v>145000</v>
      </c>
      <c r="G11" s="52"/>
    </row>
    <row r="12" spans="2:7" ht="15.75" customHeight="1" x14ac:dyDescent="0.3">
      <c r="B12" s="47">
        <v>3</v>
      </c>
      <c r="C12" s="48" t="s">
        <v>21</v>
      </c>
      <c r="D12" s="49" t="s">
        <v>22</v>
      </c>
      <c r="E12" s="50" t="s">
        <v>16</v>
      </c>
      <c r="F12" s="51">
        <v>145000</v>
      </c>
      <c r="G12" s="52"/>
    </row>
    <row r="13" spans="2:7" ht="15.75" customHeight="1" x14ac:dyDescent="0.3">
      <c r="B13" s="47">
        <v>4</v>
      </c>
      <c r="C13" s="48" t="s">
        <v>21</v>
      </c>
      <c r="D13" s="49" t="s">
        <v>71</v>
      </c>
      <c r="E13" s="50" t="s">
        <v>16</v>
      </c>
      <c r="F13" s="51">
        <v>145000</v>
      </c>
      <c r="G13" s="52"/>
    </row>
    <row r="14" spans="2:7" ht="15.75" customHeight="1" x14ac:dyDescent="0.3">
      <c r="B14" s="47">
        <v>5</v>
      </c>
      <c r="C14" s="48" t="s">
        <v>21</v>
      </c>
      <c r="D14" s="49" t="s">
        <v>45</v>
      </c>
      <c r="E14" s="50" t="s">
        <v>16</v>
      </c>
      <c r="F14" s="51">
        <v>145000</v>
      </c>
      <c r="G14" s="52"/>
    </row>
    <row r="15" spans="2:7" ht="15.75" customHeight="1" x14ac:dyDescent="0.3">
      <c r="B15" s="47">
        <v>6</v>
      </c>
      <c r="C15" s="48" t="s">
        <v>19</v>
      </c>
      <c r="D15" s="49" t="s">
        <v>115</v>
      </c>
      <c r="E15" s="50" t="s">
        <v>16</v>
      </c>
      <c r="F15" s="51">
        <v>175000</v>
      </c>
      <c r="G15" s="52"/>
    </row>
    <row r="16" spans="2:7" ht="15.75" customHeight="1" x14ac:dyDescent="0.3">
      <c r="B16" s="47">
        <v>7</v>
      </c>
      <c r="C16" s="48" t="s">
        <v>17</v>
      </c>
      <c r="D16" s="49" t="s">
        <v>18</v>
      </c>
      <c r="E16" s="50" t="s">
        <v>16</v>
      </c>
      <c r="F16" s="51">
        <v>200000</v>
      </c>
      <c r="G16" s="52"/>
    </row>
    <row r="17" spans="2:13" ht="15.75" customHeight="1" x14ac:dyDescent="0.3">
      <c r="B17" s="40" t="s">
        <v>116</v>
      </c>
      <c r="C17" s="113" t="s">
        <v>117</v>
      </c>
      <c r="D17" s="81"/>
      <c r="E17" s="81"/>
      <c r="F17" s="81"/>
      <c r="G17" s="86"/>
    </row>
    <row r="18" spans="2:13" ht="15.75" customHeight="1" x14ac:dyDescent="0.3">
      <c r="B18" s="53" t="s">
        <v>26</v>
      </c>
      <c r="C18" s="114" t="s">
        <v>118</v>
      </c>
      <c r="D18" s="81"/>
      <c r="E18" s="81"/>
      <c r="F18" s="81"/>
      <c r="G18" s="86"/>
    </row>
    <row r="19" spans="2:13" ht="15.75" customHeight="1" x14ac:dyDescent="0.3">
      <c r="B19" s="47">
        <v>1</v>
      </c>
      <c r="C19" s="54" t="s">
        <v>119</v>
      </c>
      <c r="D19" s="55" t="s">
        <v>120</v>
      </c>
      <c r="E19" s="56" t="s">
        <v>35</v>
      </c>
      <c r="F19" s="57">
        <v>385000</v>
      </c>
      <c r="G19" s="54"/>
    </row>
    <row r="20" spans="2:13" ht="15.75" customHeight="1" x14ac:dyDescent="0.3">
      <c r="B20" s="47">
        <v>10</v>
      </c>
      <c r="C20" s="54" t="s">
        <v>121</v>
      </c>
      <c r="D20" s="49" t="s">
        <v>122</v>
      </c>
      <c r="E20" s="50" t="s">
        <v>43</v>
      </c>
      <c r="F20" s="51">
        <v>11500</v>
      </c>
      <c r="G20" s="52"/>
    </row>
    <row r="21" spans="2:13" ht="15.75" customHeight="1" x14ac:dyDescent="0.3">
      <c r="B21" s="47">
        <v>22</v>
      </c>
      <c r="C21" s="54" t="s">
        <v>123</v>
      </c>
      <c r="D21" s="49" t="s">
        <v>124</v>
      </c>
      <c r="E21" s="50" t="s">
        <v>35</v>
      </c>
      <c r="F21" s="51">
        <v>127500</v>
      </c>
      <c r="G21" s="52"/>
    </row>
    <row r="22" spans="2:13" ht="15.75" customHeight="1" x14ac:dyDescent="0.3">
      <c r="B22" s="47">
        <v>39</v>
      </c>
      <c r="C22" s="54" t="s">
        <v>125</v>
      </c>
      <c r="D22" s="49" t="s">
        <v>126</v>
      </c>
      <c r="E22" s="50" t="s">
        <v>38</v>
      </c>
      <c r="F22" s="51">
        <v>850</v>
      </c>
      <c r="G22" s="52"/>
    </row>
    <row r="23" spans="2:13" ht="15.75" customHeight="1" x14ac:dyDescent="0.3">
      <c r="B23" s="58">
        <v>43</v>
      </c>
      <c r="C23" s="59" t="s">
        <v>127</v>
      </c>
      <c r="D23" s="37" t="s">
        <v>56</v>
      </c>
      <c r="E23" s="60" t="s">
        <v>38</v>
      </c>
      <c r="F23" s="61">
        <v>350</v>
      </c>
      <c r="G23" s="62"/>
    </row>
    <row r="24" spans="2:13" ht="15.75" customHeight="1" x14ac:dyDescent="0.3">
      <c r="B24" s="58">
        <v>46</v>
      </c>
      <c r="C24" s="59" t="s">
        <v>128</v>
      </c>
      <c r="D24" s="37" t="s">
        <v>99</v>
      </c>
      <c r="E24" s="60" t="s">
        <v>38</v>
      </c>
      <c r="F24" s="61">
        <v>380</v>
      </c>
      <c r="G24" s="62"/>
    </row>
    <row r="25" spans="2:13" ht="15.75" customHeight="1" x14ac:dyDescent="0.3">
      <c r="B25" s="58">
        <v>52</v>
      </c>
      <c r="C25" s="59" t="s">
        <v>36</v>
      </c>
      <c r="D25" s="63" t="s">
        <v>129</v>
      </c>
      <c r="E25" s="64" t="s">
        <v>35</v>
      </c>
      <c r="F25" s="65">
        <v>384800</v>
      </c>
      <c r="G25" s="59"/>
    </row>
    <row r="26" spans="2:13" ht="15.75" customHeight="1" x14ac:dyDescent="0.3">
      <c r="B26" s="66" t="s">
        <v>14</v>
      </c>
      <c r="C26" s="109" t="s">
        <v>130</v>
      </c>
      <c r="D26" s="81"/>
      <c r="E26" s="81"/>
      <c r="F26" s="81"/>
      <c r="G26" s="86"/>
    </row>
    <row r="27" spans="2:13" ht="15.75" customHeight="1" x14ac:dyDescent="0.3">
      <c r="B27" s="67">
        <v>11</v>
      </c>
      <c r="C27" s="62" t="s">
        <v>131</v>
      </c>
      <c r="D27" s="37" t="s">
        <v>61</v>
      </c>
      <c r="E27" s="60" t="s">
        <v>60</v>
      </c>
      <c r="F27" s="61">
        <v>25000</v>
      </c>
      <c r="G27" s="62"/>
    </row>
    <row r="28" spans="2:13" ht="15.75" customHeight="1" x14ac:dyDescent="0.3">
      <c r="B28" s="68">
        <v>15</v>
      </c>
      <c r="C28" s="52" t="s">
        <v>132</v>
      </c>
      <c r="D28" s="49" t="s">
        <v>63</v>
      </c>
      <c r="E28" s="50" t="s">
        <v>35</v>
      </c>
      <c r="F28" s="51">
        <v>12500000</v>
      </c>
      <c r="G28" s="48" t="s">
        <v>133</v>
      </c>
      <c r="I28" s="69"/>
      <c r="J28" s="70"/>
      <c r="K28" s="71"/>
      <c r="L28" s="72"/>
      <c r="M28" s="73"/>
    </row>
    <row r="29" spans="2:13" ht="15.75" customHeight="1" x14ac:dyDescent="0.3">
      <c r="B29" s="67">
        <v>16</v>
      </c>
      <c r="C29" s="62" t="s">
        <v>134</v>
      </c>
      <c r="D29" s="37" t="s">
        <v>76</v>
      </c>
      <c r="E29" s="60" t="s">
        <v>135</v>
      </c>
      <c r="F29" s="61">
        <v>8500000</v>
      </c>
      <c r="G29" s="62"/>
    </row>
    <row r="30" spans="2:13" ht="15.75" customHeight="1" x14ac:dyDescent="0.3">
      <c r="B30" s="67">
        <v>22</v>
      </c>
      <c r="C30" s="62" t="s">
        <v>136</v>
      </c>
      <c r="D30" s="37" t="s">
        <v>93</v>
      </c>
      <c r="E30" s="60" t="s">
        <v>35</v>
      </c>
      <c r="F30" s="61">
        <v>10500000</v>
      </c>
      <c r="G30" s="62"/>
    </row>
    <row r="31" spans="2:13" ht="15.75" customHeight="1" x14ac:dyDescent="0.3">
      <c r="B31" s="67">
        <v>23</v>
      </c>
      <c r="C31" s="62" t="s">
        <v>137</v>
      </c>
      <c r="D31" s="37" t="s">
        <v>101</v>
      </c>
      <c r="E31" s="60" t="s">
        <v>35</v>
      </c>
      <c r="F31" s="61">
        <v>10214200</v>
      </c>
      <c r="G31" s="74" t="s">
        <v>138</v>
      </c>
    </row>
    <row r="32" spans="2:13" ht="15.75" customHeight="1" x14ac:dyDescent="0.3">
      <c r="B32" s="67">
        <v>26</v>
      </c>
      <c r="C32" s="62" t="s">
        <v>139</v>
      </c>
      <c r="D32" s="37" t="s">
        <v>100</v>
      </c>
      <c r="E32" s="60" t="s">
        <v>35</v>
      </c>
      <c r="F32" s="61">
        <v>3200000</v>
      </c>
      <c r="G32" s="74" t="s">
        <v>140</v>
      </c>
    </row>
    <row r="33" spans="2:13" ht="15.75" customHeight="1" x14ac:dyDescent="0.3">
      <c r="B33" s="67">
        <v>28</v>
      </c>
      <c r="C33" s="62" t="s">
        <v>141</v>
      </c>
      <c r="D33" s="37" t="s">
        <v>92</v>
      </c>
      <c r="E33" s="60" t="s">
        <v>35</v>
      </c>
      <c r="F33" s="61">
        <v>2825000</v>
      </c>
      <c r="G33" s="74" t="s">
        <v>142</v>
      </c>
    </row>
    <row r="34" spans="2:13" ht="15.75" customHeight="1" x14ac:dyDescent="0.3">
      <c r="B34" s="67">
        <v>31</v>
      </c>
      <c r="C34" s="62" t="s">
        <v>143</v>
      </c>
      <c r="D34" s="37" t="s">
        <v>79</v>
      </c>
      <c r="E34" s="60" t="s">
        <v>35</v>
      </c>
      <c r="F34" s="61">
        <v>8000000</v>
      </c>
      <c r="G34" s="74" t="s">
        <v>144</v>
      </c>
    </row>
    <row r="35" spans="2:13" ht="15.75" customHeight="1" x14ac:dyDescent="0.3">
      <c r="B35" s="58">
        <v>47</v>
      </c>
      <c r="C35" s="59" t="s">
        <v>145</v>
      </c>
      <c r="D35" s="63" t="s">
        <v>62</v>
      </c>
      <c r="E35" s="64" t="s">
        <v>11</v>
      </c>
      <c r="F35" s="65">
        <v>185000</v>
      </c>
      <c r="G35" s="59"/>
    </row>
    <row r="36" spans="2:13" ht="15.75" customHeight="1" x14ac:dyDescent="0.3">
      <c r="B36" s="66" t="s">
        <v>6</v>
      </c>
      <c r="C36" s="109" t="s">
        <v>146</v>
      </c>
      <c r="D36" s="81"/>
      <c r="E36" s="81"/>
      <c r="F36" s="81"/>
      <c r="G36" s="86"/>
    </row>
    <row r="37" spans="2:13" ht="15.75" customHeight="1" x14ac:dyDescent="0.3">
      <c r="B37" s="67">
        <v>38</v>
      </c>
      <c r="C37" s="62" t="s">
        <v>147</v>
      </c>
      <c r="D37" s="37" t="s">
        <v>70</v>
      </c>
      <c r="E37" s="60" t="s">
        <v>38</v>
      </c>
      <c r="F37" s="61">
        <v>16500</v>
      </c>
      <c r="G37" s="62"/>
    </row>
    <row r="38" spans="2:13" ht="15.75" customHeight="1" x14ac:dyDescent="0.3">
      <c r="B38" s="67">
        <v>58</v>
      </c>
      <c r="C38" s="62" t="s">
        <v>148</v>
      </c>
      <c r="D38" s="37" t="s">
        <v>69</v>
      </c>
      <c r="E38" s="60" t="s">
        <v>38</v>
      </c>
      <c r="F38" s="61">
        <v>22000</v>
      </c>
      <c r="G38" s="62"/>
    </row>
    <row r="39" spans="2:13" ht="15.75" customHeight="1" x14ac:dyDescent="0.3">
      <c r="B39" s="68">
        <v>72</v>
      </c>
      <c r="C39" s="52" t="s">
        <v>149</v>
      </c>
      <c r="D39" s="49" t="s">
        <v>49</v>
      </c>
      <c r="E39" s="50" t="s">
        <v>38</v>
      </c>
      <c r="F39" s="51">
        <v>22500</v>
      </c>
      <c r="G39" s="52"/>
      <c r="H39" s="75"/>
      <c r="I39" s="69"/>
      <c r="J39" s="73"/>
      <c r="K39" s="71"/>
      <c r="L39" s="72"/>
      <c r="M39" s="69"/>
    </row>
    <row r="40" spans="2:13" ht="15.75" customHeight="1" x14ac:dyDescent="0.3">
      <c r="B40" s="68">
        <v>74</v>
      </c>
      <c r="C40" s="52" t="s">
        <v>150</v>
      </c>
      <c r="D40" s="49" t="s">
        <v>91</v>
      </c>
      <c r="E40" s="50" t="s">
        <v>38</v>
      </c>
      <c r="F40" s="51">
        <v>20000</v>
      </c>
      <c r="G40" s="62"/>
    </row>
    <row r="41" spans="2:13" ht="15.75" customHeight="1" x14ac:dyDescent="0.3">
      <c r="B41" s="68">
        <v>75</v>
      </c>
      <c r="C41" s="52" t="s">
        <v>151</v>
      </c>
      <c r="D41" s="49" t="s">
        <v>64</v>
      </c>
      <c r="E41" s="50" t="s">
        <v>38</v>
      </c>
      <c r="F41" s="51">
        <v>20000</v>
      </c>
      <c r="G41" s="62"/>
    </row>
    <row r="42" spans="2:13" ht="15.75" customHeight="1" x14ac:dyDescent="0.3">
      <c r="B42" s="68">
        <v>76</v>
      </c>
      <c r="C42" s="52" t="s">
        <v>152</v>
      </c>
      <c r="D42" s="49" t="s">
        <v>153</v>
      </c>
      <c r="E42" s="50" t="s">
        <v>38</v>
      </c>
      <c r="F42" s="51">
        <v>20000</v>
      </c>
      <c r="G42" s="62"/>
    </row>
    <row r="43" spans="2:13" ht="15.75" customHeight="1" x14ac:dyDescent="0.3">
      <c r="B43" s="47">
        <v>77</v>
      </c>
      <c r="C43" s="54" t="s">
        <v>154</v>
      </c>
      <c r="D43" s="55" t="s">
        <v>78</v>
      </c>
      <c r="E43" s="56" t="s">
        <v>38</v>
      </c>
      <c r="F43" s="57">
        <v>20000</v>
      </c>
      <c r="G43" s="54"/>
    </row>
    <row r="44" spans="2:13" ht="15.75" customHeight="1" x14ac:dyDescent="0.3">
      <c r="B44" s="66" t="s">
        <v>4</v>
      </c>
      <c r="C44" s="109" t="s">
        <v>155</v>
      </c>
      <c r="D44" s="81"/>
      <c r="E44" s="81"/>
      <c r="F44" s="81"/>
      <c r="G44" s="86"/>
    </row>
    <row r="45" spans="2:13" ht="15.75" customHeight="1" x14ac:dyDescent="0.3">
      <c r="B45" s="58">
        <v>112</v>
      </c>
      <c r="C45" s="59" t="s">
        <v>156</v>
      </c>
      <c r="D45" s="63" t="s">
        <v>12</v>
      </c>
      <c r="E45" s="64" t="s">
        <v>11</v>
      </c>
      <c r="F45" s="65">
        <v>13900</v>
      </c>
      <c r="G45" s="59"/>
    </row>
    <row r="46" spans="2:13" ht="15.75" customHeight="1" x14ac:dyDescent="0.3">
      <c r="B46" s="66" t="s">
        <v>1</v>
      </c>
      <c r="C46" s="109" t="s">
        <v>157</v>
      </c>
      <c r="D46" s="81"/>
      <c r="E46" s="81"/>
      <c r="F46" s="81"/>
      <c r="G46" s="86"/>
    </row>
    <row r="47" spans="2:13" ht="15.75" customHeight="1" x14ac:dyDescent="0.3">
      <c r="B47" s="58">
        <v>25</v>
      </c>
      <c r="C47" s="59" t="s">
        <v>158</v>
      </c>
      <c r="D47" s="63" t="s">
        <v>50</v>
      </c>
      <c r="E47" s="64" t="s">
        <v>43</v>
      </c>
      <c r="F47" s="65">
        <v>27000</v>
      </c>
      <c r="G47" s="59"/>
    </row>
    <row r="48" spans="2:13" ht="15.75" customHeight="1" x14ac:dyDescent="0.3">
      <c r="B48" s="66" t="s">
        <v>159</v>
      </c>
      <c r="C48" s="109" t="s">
        <v>160</v>
      </c>
      <c r="D48" s="81"/>
      <c r="E48" s="81"/>
      <c r="F48" s="81"/>
      <c r="G48" s="86"/>
    </row>
    <row r="49" spans="2:13" ht="15.75" customHeight="1" x14ac:dyDescent="0.3">
      <c r="B49" s="68">
        <v>25</v>
      </c>
      <c r="C49" s="52" t="s">
        <v>161</v>
      </c>
      <c r="D49" s="48" t="s">
        <v>162</v>
      </c>
      <c r="E49" s="50" t="s">
        <v>43</v>
      </c>
      <c r="F49" s="51">
        <v>7000</v>
      </c>
      <c r="G49" s="52"/>
      <c r="H49" s="71"/>
      <c r="I49" s="69"/>
      <c r="J49" s="73"/>
      <c r="K49" s="71"/>
      <c r="L49" s="72"/>
      <c r="M49" s="69"/>
    </row>
    <row r="50" spans="2:13" ht="15.75" customHeight="1" x14ac:dyDescent="0.3">
      <c r="B50" s="58">
        <v>40</v>
      </c>
      <c r="C50" s="76" t="s">
        <v>39</v>
      </c>
      <c r="D50" s="63" t="s">
        <v>40</v>
      </c>
      <c r="E50" s="64" t="s">
        <v>38</v>
      </c>
      <c r="F50" s="65">
        <v>1400</v>
      </c>
      <c r="G50" s="59"/>
    </row>
    <row r="51" spans="2:13" ht="15.75" customHeight="1" x14ac:dyDescent="0.3">
      <c r="B51" s="66" t="s">
        <v>163</v>
      </c>
      <c r="C51" s="107" t="s">
        <v>164</v>
      </c>
      <c r="D51" s="81"/>
      <c r="E51" s="81"/>
      <c r="F51" s="81"/>
      <c r="G51" s="86"/>
    </row>
    <row r="52" spans="2:13" ht="15.75" customHeight="1" x14ac:dyDescent="0.3">
      <c r="B52" s="58">
        <v>104</v>
      </c>
      <c r="C52" s="76"/>
      <c r="D52" s="63" t="s">
        <v>165</v>
      </c>
      <c r="E52" s="64" t="s">
        <v>166</v>
      </c>
      <c r="F52" s="65">
        <v>45000</v>
      </c>
      <c r="G52" s="59"/>
    </row>
    <row r="53" spans="2:13" ht="15.75" customHeight="1" x14ac:dyDescent="0.3">
      <c r="B53" s="66" t="s">
        <v>167</v>
      </c>
      <c r="C53" s="107" t="s">
        <v>168</v>
      </c>
      <c r="D53" s="81"/>
      <c r="E53" s="81"/>
      <c r="F53" s="81"/>
      <c r="G53" s="86"/>
    </row>
    <row r="54" spans="2:13" ht="15.75" customHeight="1" x14ac:dyDescent="0.3">
      <c r="B54" s="67">
        <v>6</v>
      </c>
      <c r="C54" s="77"/>
      <c r="D54" s="37" t="s">
        <v>81</v>
      </c>
      <c r="E54" s="60" t="s">
        <v>47</v>
      </c>
      <c r="F54" s="61">
        <v>20000</v>
      </c>
      <c r="G54" s="62"/>
    </row>
    <row r="55" spans="2:13" ht="15.75" customHeight="1" x14ac:dyDescent="0.3">
      <c r="B55" s="58">
        <v>13</v>
      </c>
      <c r="C55" s="76"/>
      <c r="D55" s="63" t="s">
        <v>98</v>
      </c>
      <c r="E55" s="64" t="s">
        <v>47</v>
      </c>
      <c r="F55" s="65">
        <v>21000</v>
      </c>
      <c r="G55" s="59"/>
    </row>
    <row r="56" spans="2:13" ht="15.75" customHeight="1" x14ac:dyDescent="0.3">
      <c r="B56" s="66" t="s">
        <v>169</v>
      </c>
      <c r="C56" s="107" t="s">
        <v>170</v>
      </c>
      <c r="D56" s="81"/>
      <c r="E56" s="81"/>
      <c r="F56" s="81"/>
      <c r="G56" s="86"/>
    </row>
    <row r="57" spans="2:13" ht="15.75" customHeight="1" x14ac:dyDescent="0.3">
      <c r="B57" s="67">
        <v>1</v>
      </c>
      <c r="C57" s="77"/>
      <c r="D57" s="37" t="s">
        <v>55</v>
      </c>
      <c r="E57" s="60" t="s">
        <v>47</v>
      </c>
      <c r="F57" s="61">
        <v>200</v>
      </c>
      <c r="G57" s="62"/>
    </row>
    <row r="58" spans="2:13" ht="15.75" customHeight="1" x14ac:dyDescent="0.3">
      <c r="B58" s="68">
        <v>58</v>
      </c>
      <c r="C58" s="78"/>
      <c r="D58" s="49" t="s">
        <v>42</v>
      </c>
      <c r="E58" s="50" t="s">
        <v>171</v>
      </c>
      <c r="F58" s="51">
        <v>85600</v>
      </c>
      <c r="G58" s="52"/>
    </row>
    <row r="59" spans="2:13" ht="15.75" customHeight="1" x14ac:dyDescent="0.3">
      <c r="B59" s="79" t="s">
        <v>172</v>
      </c>
      <c r="C59" s="108" t="s">
        <v>173</v>
      </c>
      <c r="D59" s="86"/>
      <c r="E59" s="80"/>
      <c r="F59" s="80"/>
      <c r="G59" s="80"/>
    </row>
    <row r="60" spans="2:13" ht="15.75" customHeight="1" x14ac:dyDescent="0.3">
      <c r="B60" s="67">
        <v>7</v>
      </c>
      <c r="C60" s="62"/>
      <c r="D60" s="37" t="s">
        <v>67</v>
      </c>
      <c r="E60" s="60" t="s">
        <v>52</v>
      </c>
      <c r="F60" s="61">
        <v>850000</v>
      </c>
      <c r="G60" s="62"/>
    </row>
    <row r="61" spans="2:13" ht="15.75" customHeight="1" x14ac:dyDescent="0.3">
      <c r="B61" s="67">
        <v>28</v>
      </c>
      <c r="C61" s="62"/>
      <c r="D61" s="37" t="s">
        <v>68</v>
      </c>
      <c r="E61" s="60" t="s">
        <v>52</v>
      </c>
      <c r="F61" s="61">
        <v>800000</v>
      </c>
      <c r="G61" s="62"/>
    </row>
    <row r="62" spans="2:13" ht="15.75" customHeight="1" x14ac:dyDescent="0.3">
      <c r="B62" s="67">
        <v>97</v>
      </c>
      <c r="C62" s="62"/>
      <c r="D62" s="37" t="s">
        <v>83</v>
      </c>
      <c r="E62" s="60" t="s">
        <v>52</v>
      </c>
      <c r="F62" s="61">
        <v>400000</v>
      </c>
      <c r="G62" s="62"/>
    </row>
    <row r="63" spans="2:13" ht="15.75" customHeight="1" x14ac:dyDescent="0.3">
      <c r="B63" s="67">
        <v>115</v>
      </c>
      <c r="C63" s="62"/>
      <c r="D63" s="37" t="s">
        <v>174</v>
      </c>
      <c r="E63" s="60" t="s">
        <v>52</v>
      </c>
      <c r="F63" s="61">
        <v>75000</v>
      </c>
      <c r="G63" s="62"/>
    </row>
    <row r="64" spans="2:13" ht="15.75" customHeight="1" x14ac:dyDescent="0.3">
      <c r="B64" s="67">
        <v>147</v>
      </c>
      <c r="C64" s="62"/>
      <c r="D64" s="37" t="s">
        <v>53</v>
      </c>
      <c r="E64" s="60" t="s">
        <v>52</v>
      </c>
      <c r="F64" s="61">
        <v>350000</v>
      </c>
      <c r="G64" s="62"/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C26:G26"/>
    <mergeCell ref="B2:G3"/>
    <mergeCell ref="B5:G5"/>
    <mergeCell ref="C9:D9"/>
    <mergeCell ref="C17:G17"/>
    <mergeCell ref="C18:G18"/>
    <mergeCell ref="C56:G56"/>
    <mergeCell ref="C59:D59"/>
    <mergeCell ref="C36:G36"/>
    <mergeCell ref="C44:G44"/>
    <mergeCell ref="C46:G46"/>
    <mergeCell ref="C48:G48"/>
    <mergeCell ref="C51:G51"/>
    <mergeCell ref="C53:G53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F4F3-526C-482A-9785-505269CB304E}">
  <sheetPr>
    <tabColor rgb="FFFF0000"/>
    <outlinePr summaryBelow="0" summaryRight="0"/>
    <pageSetUpPr fitToPage="1"/>
  </sheetPr>
  <dimension ref="A1:J996"/>
  <sheetViews>
    <sheetView tabSelected="1" workbookViewId="0">
      <selection activeCell="C3" sqref="C3"/>
    </sheetView>
  </sheetViews>
  <sheetFormatPr defaultColWidth="12.6640625" defaultRowHeight="15" customHeight="1" x14ac:dyDescent="0.3"/>
  <cols>
    <col min="1" max="1" width="4.33203125" style="117" bestFit="1" customWidth="1"/>
    <col min="2" max="2" width="5.109375" style="115" customWidth="1"/>
    <col min="3" max="3" width="56.33203125" style="115" customWidth="1"/>
    <col min="4" max="4" width="12.6640625" style="115"/>
    <col min="5" max="5" width="9.88671875" style="117" bestFit="1" customWidth="1"/>
    <col min="6" max="6" width="9.88671875" style="117" customWidth="1"/>
    <col min="7" max="7" width="18.77734375" style="115" bestFit="1" customWidth="1"/>
    <col min="8" max="8" width="19.21875" style="115" bestFit="1" customWidth="1"/>
    <col min="9" max="9" width="16.109375" style="115" customWidth="1"/>
    <col min="10" max="16384" width="12.6640625" style="115"/>
  </cols>
  <sheetData>
    <row r="1" spans="1:8" ht="15.75" customHeight="1" x14ac:dyDescent="0.3">
      <c r="D1" s="116"/>
    </row>
    <row r="2" spans="1:8" ht="15.75" customHeight="1" x14ac:dyDescent="0.3">
      <c r="A2" s="152" t="s">
        <v>226</v>
      </c>
      <c r="B2" s="152"/>
      <c r="C2" s="152"/>
      <c r="D2" s="152"/>
      <c r="E2" s="152"/>
      <c r="F2" s="152"/>
      <c r="G2" s="152"/>
      <c r="H2" s="152"/>
    </row>
    <row r="3" spans="1:8" ht="31.2" x14ac:dyDescent="0.3">
      <c r="A3" s="153" t="s">
        <v>108</v>
      </c>
      <c r="B3" s="134" t="s">
        <v>175</v>
      </c>
      <c r="C3" s="134"/>
      <c r="D3" s="135" t="s">
        <v>176</v>
      </c>
      <c r="E3" s="136" t="s">
        <v>110</v>
      </c>
      <c r="F3" s="137" t="s">
        <v>227</v>
      </c>
      <c r="G3" s="137" t="s">
        <v>228</v>
      </c>
      <c r="H3" s="137" t="s">
        <v>229</v>
      </c>
    </row>
    <row r="4" spans="1:8" ht="15.75" customHeight="1" x14ac:dyDescent="0.3">
      <c r="A4" s="145">
        <v>1</v>
      </c>
      <c r="B4" s="138" t="s">
        <v>177</v>
      </c>
      <c r="C4" s="139"/>
      <c r="D4" s="139"/>
      <c r="E4" s="139"/>
      <c r="F4" s="139"/>
      <c r="G4" s="139"/>
      <c r="H4" s="139"/>
    </row>
    <row r="5" spans="1:8" ht="15.75" customHeight="1" x14ac:dyDescent="0.3">
      <c r="A5" s="130">
        <v>2</v>
      </c>
      <c r="B5" s="125" t="s">
        <v>178</v>
      </c>
      <c r="C5" s="125"/>
      <c r="D5" s="126">
        <v>1</v>
      </c>
      <c r="E5" s="127" t="s">
        <v>179</v>
      </c>
      <c r="F5" s="127"/>
      <c r="G5" s="128"/>
      <c r="H5" s="128"/>
    </row>
    <row r="6" spans="1:8" ht="15.75" customHeight="1" x14ac:dyDescent="0.3">
      <c r="A6" s="130">
        <v>3</v>
      </c>
      <c r="B6" s="125" t="s">
        <v>180</v>
      </c>
      <c r="C6" s="125"/>
      <c r="D6" s="126">
        <v>965.25</v>
      </c>
      <c r="E6" s="127" t="s">
        <v>166</v>
      </c>
      <c r="F6" s="127"/>
      <c r="G6" s="128"/>
      <c r="H6" s="128"/>
    </row>
    <row r="7" spans="1:8" ht="15.75" customHeight="1" x14ac:dyDescent="0.3">
      <c r="A7" s="130">
        <v>4</v>
      </c>
      <c r="B7" s="125" t="s">
        <v>181</v>
      </c>
      <c r="C7" s="125"/>
      <c r="D7" s="126">
        <v>124.5</v>
      </c>
      <c r="E7" s="127" t="s">
        <v>182</v>
      </c>
      <c r="F7" s="127"/>
      <c r="G7" s="128"/>
      <c r="H7" s="128"/>
    </row>
    <row r="8" spans="1:8" ht="15.75" customHeight="1" x14ac:dyDescent="0.3">
      <c r="A8" s="130">
        <v>5</v>
      </c>
      <c r="B8" s="125" t="s">
        <v>183</v>
      </c>
      <c r="C8" s="125"/>
      <c r="D8" s="126">
        <v>1</v>
      </c>
      <c r="E8" s="127" t="s">
        <v>179</v>
      </c>
      <c r="F8" s="127"/>
      <c r="G8" s="128"/>
      <c r="H8" s="128"/>
    </row>
    <row r="9" spans="1:8" ht="15.75" customHeight="1" x14ac:dyDescent="0.3">
      <c r="A9" s="130">
        <v>6</v>
      </c>
      <c r="B9" s="125" t="s">
        <v>184</v>
      </c>
      <c r="C9" s="125"/>
      <c r="D9" s="126">
        <v>1</v>
      </c>
      <c r="E9" s="127" t="s">
        <v>179</v>
      </c>
      <c r="F9" s="127"/>
      <c r="G9" s="128"/>
      <c r="H9" s="128"/>
    </row>
    <row r="10" spans="1:8" ht="15.75" customHeight="1" x14ac:dyDescent="0.3">
      <c r="A10" s="130">
        <v>7</v>
      </c>
      <c r="B10" s="125" t="s">
        <v>185</v>
      </c>
      <c r="C10" s="125"/>
      <c r="D10" s="126">
        <f>D7</f>
        <v>124.5</v>
      </c>
      <c r="E10" s="127" t="s">
        <v>182</v>
      </c>
      <c r="F10" s="127"/>
      <c r="G10" s="128"/>
      <c r="H10" s="128"/>
    </row>
    <row r="11" spans="1:8" ht="15.75" customHeight="1" x14ac:dyDescent="0.3">
      <c r="A11" s="130">
        <v>8</v>
      </c>
      <c r="B11" s="125" t="s">
        <v>186</v>
      </c>
      <c r="C11" s="125"/>
      <c r="D11" s="126">
        <v>1</v>
      </c>
      <c r="E11" s="127" t="s">
        <v>179</v>
      </c>
      <c r="F11" s="127"/>
      <c r="G11" s="128"/>
      <c r="H11" s="128"/>
    </row>
    <row r="12" spans="1:8" ht="15.75" customHeight="1" x14ac:dyDescent="0.3">
      <c r="A12" s="130">
        <v>9</v>
      </c>
      <c r="B12" s="123" t="s">
        <v>187</v>
      </c>
      <c r="C12" s="124"/>
      <c r="D12" s="124"/>
      <c r="E12" s="124"/>
      <c r="F12" s="124"/>
      <c r="G12" s="124"/>
      <c r="H12" s="129"/>
    </row>
    <row r="13" spans="1:8" ht="15.75" customHeight="1" x14ac:dyDescent="0.3">
      <c r="A13" s="130">
        <v>10</v>
      </c>
      <c r="B13" s="140" t="s">
        <v>188</v>
      </c>
      <c r="C13" s="141"/>
      <c r="D13" s="142"/>
      <c r="E13" s="143"/>
      <c r="F13" s="143"/>
      <c r="G13" s="141"/>
      <c r="H13" s="141"/>
    </row>
    <row r="14" spans="1:8" ht="15.75" customHeight="1" x14ac:dyDescent="0.3">
      <c r="A14" s="130">
        <v>11</v>
      </c>
      <c r="B14" s="140" t="s">
        <v>189</v>
      </c>
      <c r="C14" s="141"/>
      <c r="D14" s="142"/>
      <c r="E14" s="143"/>
      <c r="F14" s="143"/>
      <c r="G14" s="144"/>
      <c r="H14" s="141"/>
    </row>
    <row r="15" spans="1:8" ht="15.75" customHeight="1" x14ac:dyDescent="0.3">
      <c r="A15" s="130">
        <v>12</v>
      </c>
      <c r="B15" s="125" t="s">
        <v>190</v>
      </c>
      <c r="C15" s="125"/>
      <c r="D15" s="126">
        <v>264.60000000000002</v>
      </c>
      <c r="E15" s="127" t="s">
        <v>35</v>
      </c>
      <c r="F15" s="127"/>
      <c r="G15" s="128"/>
      <c r="H15" s="128"/>
    </row>
    <row r="16" spans="1:8" ht="15.75" customHeight="1" x14ac:dyDescent="0.3">
      <c r="A16" s="130">
        <v>13</v>
      </c>
      <c r="B16" s="125" t="s">
        <v>191</v>
      </c>
      <c r="C16" s="125"/>
      <c r="D16" s="126">
        <v>196.38</v>
      </c>
      <c r="E16" s="127" t="s">
        <v>35</v>
      </c>
      <c r="F16" s="127"/>
      <c r="G16" s="128"/>
      <c r="H16" s="128"/>
    </row>
    <row r="17" spans="1:10" ht="15.75" customHeight="1" x14ac:dyDescent="0.3">
      <c r="A17" s="130">
        <v>14</v>
      </c>
      <c r="B17" s="125" t="s">
        <v>192</v>
      </c>
      <c r="C17" s="125"/>
      <c r="D17" s="126">
        <v>21.6</v>
      </c>
      <c r="E17" s="127" t="s">
        <v>35</v>
      </c>
      <c r="F17" s="127"/>
      <c r="G17" s="128"/>
      <c r="H17" s="128"/>
      <c r="I17" s="122"/>
    </row>
    <row r="18" spans="1:10" ht="15.75" customHeight="1" x14ac:dyDescent="0.3">
      <c r="A18" s="130">
        <v>15</v>
      </c>
      <c r="B18" s="140" t="s">
        <v>193</v>
      </c>
      <c r="C18" s="141"/>
      <c r="D18" s="142"/>
      <c r="E18" s="143"/>
      <c r="F18" s="143"/>
      <c r="G18" s="144"/>
      <c r="H18" s="141"/>
      <c r="I18" s="118"/>
    </row>
    <row r="19" spans="1:10" ht="15.75" customHeight="1" x14ac:dyDescent="0.3">
      <c r="A19" s="130">
        <v>16</v>
      </c>
      <c r="B19" s="125" t="s">
        <v>194</v>
      </c>
      <c r="C19" s="125"/>
      <c r="D19" s="126">
        <v>8527.5</v>
      </c>
      <c r="E19" s="127" t="s">
        <v>38</v>
      </c>
      <c r="F19" s="127"/>
      <c r="G19" s="128"/>
      <c r="H19" s="128"/>
    </row>
    <row r="20" spans="1:10" ht="15.75" customHeight="1" x14ac:dyDescent="0.3">
      <c r="A20" s="130">
        <v>17</v>
      </c>
      <c r="B20" s="125" t="s">
        <v>195</v>
      </c>
      <c r="C20" s="125"/>
      <c r="D20" s="126">
        <v>353.07</v>
      </c>
      <c r="E20" s="127" t="s">
        <v>166</v>
      </c>
      <c r="F20" s="127"/>
      <c r="G20" s="128"/>
      <c r="H20" s="128"/>
    </row>
    <row r="21" spans="1:10" ht="15.75" customHeight="1" x14ac:dyDescent="0.3">
      <c r="A21" s="130">
        <v>18</v>
      </c>
      <c r="B21" s="125" t="s">
        <v>196</v>
      </c>
      <c r="C21" s="125"/>
      <c r="D21" s="126">
        <v>68.22</v>
      </c>
      <c r="E21" s="127" t="s">
        <v>35</v>
      </c>
      <c r="F21" s="127"/>
      <c r="G21" s="128"/>
      <c r="H21" s="128"/>
    </row>
    <row r="22" spans="1:10" ht="15.75" customHeight="1" x14ac:dyDescent="0.3">
      <c r="A22" s="130">
        <v>19</v>
      </c>
      <c r="B22" s="125" t="s">
        <v>197</v>
      </c>
      <c r="C22" s="125"/>
      <c r="D22" s="126">
        <v>353.07</v>
      </c>
      <c r="E22" s="127" t="s">
        <v>166</v>
      </c>
      <c r="F22" s="127"/>
      <c r="G22" s="128"/>
      <c r="H22" s="128"/>
      <c r="I22" s="122"/>
    </row>
    <row r="23" spans="1:10" ht="15.75" customHeight="1" x14ac:dyDescent="0.3">
      <c r="A23" s="130">
        <v>20</v>
      </c>
      <c r="B23" s="140" t="s">
        <v>198</v>
      </c>
      <c r="C23" s="141"/>
      <c r="D23" s="142"/>
      <c r="E23" s="143"/>
      <c r="F23" s="143"/>
      <c r="G23" s="144"/>
      <c r="H23" s="141"/>
      <c r="I23" s="118"/>
      <c r="J23" s="118"/>
    </row>
    <row r="24" spans="1:10" ht="15.75" customHeight="1" x14ac:dyDescent="0.3">
      <c r="A24" s="130">
        <v>21</v>
      </c>
      <c r="B24" s="140" t="s">
        <v>199</v>
      </c>
      <c r="C24" s="141"/>
      <c r="D24" s="142"/>
      <c r="E24" s="143"/>
      <c r="F24" s="143"/>
      <c r="G24" s="144"/>
      <c r="H24" s="141"/>
    </row>
    <row r="25" spans="1:10" ht="15.75" customHeight="1" x14ac:dyDescent="0.3">
      <c r="A25" s="130">
        <v>22</v>
      </c>
      <c r="B25" s="140" t="s">
        <v>200</v>
      </c>
      <c r="C25" s="141"/>
      <c r="D25" s="142"/>
      <c r="E25" s="143"/>
      <c r="F25" s="143"/>
      <c r="G25" s="144"/>
      <c r="H25" s="141"/>
    </row>
    <row r="26" spans="1:10" ht="15.75" customHeight="1" x14ac:dyDescent="0.3">
      <c r="A26" s="130">
        <v>23</v>
      </c>
      <c r="B26" s="125" t="s">
        <v>201</v>
      </c>
      <c r="C26" s="125"/>
      <c r="D26" s="126">
        <v>289.8</v>
      </c>
      <c r="E26" s="127" t="s">
        <v>166</v>
      </c>
      <c r="F26" s="127"/>
      <c r="G26" s="128"/>
      <c r="H26" s="128"/>
    </row>
    <row r="27" spans="1:10" ht="15.75" customHeight="1" x14ac:dyDescent="0.3">
      <c r="A27" s="130">
        <v>24</v>
      </c>
      <c r="B27" s="125" t="s">
        <v>202</v>
      </c>
      <c r="C27" s="125"/>
      <c r="D27" s="126">
        <v>2933.48</v>
      </c>
      <c r="E27" s="127" t="s">
        <v>38</v>
      </c>
      <c r="F27" s="127"/>
      <c r="G27" s="128"/>
      <c r="H27" s="128"/>
    </row>
    <row r="28" spans="1:10" ht="15.75" customHeight="1" x14ac:dyDescent="0.3">
      <c r="A28" s="130">
        <v>25</v>
      </c>
      <c r="B28" s="125" t="s">
        <v>196</v>
      </c>
      <c r="C28" s="125"/>
      <c r="D28" s="126">
        <v>24.9</v>
      </c>
      <c r="E28" s="127" t="s">
        <v>35</v>
      </c>
      <c r="F28" s="127"/>
      <c r="G28" s="128"/>
      <c r="H28" s="128"/>
    </row>
    <row r="29" spans="1:10" ht="15.75" customHeight="1" x14ac:dyDescent="0.3">
      <c r="A29" s="130">
        <v>26</v>
      </c>
      <c r="B29" s="125" t="s">
        <v>203</v>
      </c>
      <c r="C29" s="125"/>
      <c r="D29" s="126">
        <v>289.8</v>
      </c>
      <c r="E29" s="127" t="s">
        <v>166</v>
      </c>
      <c r="F29" s="127"/>
      <c r="G29" s="128"/>
      <c r="H29" s="128"/>
      <c r="I29" s="122"/>
    </row>
    <row r="30" spans="1:10" ht="15.75" customHeight="1" x14ac:dyDescent="0.3">
      <c r="A30" s="130">
        <v>27</v>
      </c>
      <c r="B30" s="140" t="s">
        <v>204</v>
      </c>
      <c r="C30" s="141"/>
      <c r="D30" s="142"/>
      <c r="E30" s="143"/>
      <c r="F30" s="143"/>
      <c r="G30" s="144"/>
      <c r="H30" s="141"/>
      <c r="I30" s="118"/>
    </row>
    <row r="31" spans="1:10" ht="15.75" customHeight="1" x14ac:dyDescent="0.3">
      <c r="A31" s="130">
        <v>28</v>
      </c>
      <c r="B31" s="125" t="s">
        <v>205</v>
      </c>
      <c r="C31" s="125"/>
      <c r="D31" s="126">
        <v>468.06</v>
      </c>
      <c r="E31" s="127" t="s">
        <v>166</v>
      </c>
      <c r="F31" s="127"/>
      <c r="G31" s="128"/>
      <c r="H31" s="128"/>
    </row>
    <row r="32" spans="1:10" ht="15.75" customHeight="1" x14ac:dyDescent="0.3">
      <c r="A32" s="130">
        <v>29</v>
      </c>
      <c r="B32" s="125" t="s">
        <v>202</v>
      </c>
      <c r="C32" s="125"/>
      <c r="D32" s="126">
        <v>8828.7900000000009</v>
      </c>
      <c r="E32" s="127" t="s">
        <v>38</v>
      </c>
      <c r="F32" s="127"/>
      <c r="G32" s="128"/>
      <c r="H32" s="128"/>
    </row>
    <row r="33" spans="1:9" ht="15.75" customHeight="1" x14ac:dyDescent="0.3">
      <c r="A33" s="130">
        <v>30</v>
      </c>
      <c r="B33" s="125" t="s">
        <v>196</v>
      </c>
      <c r="C33" s="125"/>
      <c r="D33" s="126">
        <v>112.34</v>
      </c>
      <c r="E33" s="127" t="s">
        <v>35</v>
      </c>
      <c r="F33" s="127"/>
      <c r="G33" s="128"/>
      <c r="H33" s="128"/>
    </row>
    <row r="34" spans="1:9" ht="15.75" customHeight="1" x14ac:dyDescent="0.3">
      <c r="A34" s="130">
        <v>31</v>
      </c>
      <c r="B34" s="125" t="s">
        <v>203</v>
      </c>
      <c r="C34" s="125"/>
      <c r="D34" s="126">
        <v>468.06</v>
      </c>
      <c r="E34" s="127" t="s">
        <v>166</v>
      </c>
      <c r="F34" s="127"/>
      <c r="G34" s="128"/>
      <c r="H34" s="128"/>
      <c r="I34" s="122"/>
    </row>
    <row r="35" spans="1:9" ht="15.75" customHeight="1" x14ac:dyDescent="0.3">
      <c r="A35" s="130">
        <v>32</v>
      </c>
      <c r="B35" s="140" t="s">
        <v>206</v>
      </c>
      <c r="C35" s="141"/>
      <c r="D35" s="142"/>
      <c r="E35" s="143"/>
      <c r="F35" s="143"/>
      <c r="G35" s="144"/>
      <c r="H35" s="141"/>
      <c r="I35" s="118"/>
    </row>
    <row r="36" spans="1:9" ht="15.75" customHeight="1" x14ac:dyDescent="0.3">
      <c r="A36" s="130">
        <v>33</v>
      </c>
      <c r="B36" s="125" t="s">
        <v>207</v>
      </c>
      <c r="C36" s="125"/>
      <c r="D36" s="126">
        <v>289.8</v>
      </c>
      <c r="E36" s="127" t="s">
        <v>166</v>
      </c>
      <c r="F36" s="127"/>
      <c r="G36" s="128"/>
      <c r="H36" s="128"/>
    </row>
    <row r="37" spans="1:9" ht="15.75" customHeight="1" x14ac:dyDescent="0.3">
      <c r="A37" s="130">
        <v>34</v>
      </c>
      <c r="B37" s="125" t="s">
        <v>202</v>
      </c>
      <c r="C37" s="125"/>
      <c r="D37" s="126">
        <v>2933.48</v>
      </c>
      <c r="E37" s="127" t="s">
        <v>38</v>
      </c>
      <c r="F37" s="127"/>
      <c r="G37" s="128"/>
      <c r="H37" s="128"/>
    </row>
    <row r="38" spans="1:9" ht="15.75" customHeight="1" x14ac:dyDescent="0.3">
      <c r="A38" s="130">
        <v>35</v>
      </c>
      <c r="B38" s="125" t="s">
        <v>196</v>
      </c>
      <c r="C38" s="125"/>
      <c r="D38" s="126">
        <v>24.9</v>
      </c>
      <c r="E38" s="127" t="s">
        <v>35</v>
      </c>
      <c r="F38" s="127"/>
      <c r="G38" s="128"/>
      <c r="H38" s="128"/>
    </row>
    <row r="39" spans="1:9" ht="15.75" customHeight="1" x14ac:dyDescent="0.3">
      <c r="A39" s="130">
        <v>36</v>
      </c>
      <c r="B39" s="125" t="s">
        <v>203</v>
      </c>
      <c r="C39" s="125"/>
      <c r="D39" s="126">
        <v>289.8</v>
      </c>
      <c r="E39" s="127" t="s">
        <v>166</v>
      </c>
      <c r="F39" s="127"/>
      <c r="G39" s="128"/>
      <c r="H39" s="128"/>
      <c r="I39" s="122"/>
    </row>
    <row r="40" spans="1:9" ht="15.75" customHeight="1" x14ac:dyDescent="0.3">
      <c r="A40" s="130">
        <v>37</v>
      </c>
      <c r="B40" s="140" t="s">
        <v>208</v>
      </c>
      <c r="C40" s="141"/>
      <c r="D40" s="142"/>
      <c r="E40" s="143"/>
      <c r="F40" s="143"/>
      <c r="G40" s="144"/>
      <c r="H40" s="141"/>
      <c r="I40" s="118"/>
    </row>
    <row r="41" spans="1:9" ht="15.75" customHeight="1" x14ac:dyDescent="0.3">
      <c r="A41" s="130">
        <v>38</v>
      </c>
      <c r="B41" s="125" t="s">
        <v>209</v>
      </c>
      <c r="C41" s="125"/>
      <c r="D41" s="126">
        <v>322.56</v>
      </c>
      <c r="E41" s="127" t="s">
        <v>166</v>
      </c>
      <c r="F41" s="127"/>
      <c r="G41" s="128"/>
      <c r="H41" s="128"/>
    </row>
    <row r="42" spans="1:9" ht="15.75" customHeight="1" x14ac:dyDescent="0.3">
      <c r="A42" s="130">
        <v>39</v>
      </c>
      <c r="B42" s="125" t="s">
        <v>202</v>
      </c>
      <c r="C42" s="125"/>
      <c r="D42" s="126">
        <v>5573</v>
      </c>
      <c r="E42" s="127" t="s">
        <v>38</v>
      </c>
      <c r="F42" s="127"/>
      <c r="G42" s="128"/>
      <c r="H42" s="128"/>
    </row>
    <row r="43" spans="1:9" ht="15.75" customHeight="1" x14ac:dyDescent="0.3">
      <c r="A43" s="130">
        <v>40</v>
      </c>
      <c r="B43" s="125" t="s">
        <v>196</v>
      </c>
      <c r="C43" s="125"/>
      <c r="D43" s="125">
        <v>23.33</v>
      </c>
      <c r="E43" s="127" t="s">
        <v>35</v>
      </c>
      <c r="F43" s="127"/>
      <c r="G43" s="128"/>
      <c r="H43" s="128"/>
    </row>
    <row r="44" spans="1:9" ht="15.75" customHeight="1" x14ac:dyDescent="0.3">
      <c r="A44" s="130">
        <v>41</v>
      </c>
      <c r="B44" s="125" t="s">
        <v>203</v>
      </c>
      <c r="C44" s="125"/>
      <c r="D44" s="126">
        <v>322.56</v>
      </c>
      <c r="E44" s="127" t="s">
        <v>166</v>
      </c>
      <c r="F44" s="127"/>
      <c r="G44" s="128"/>
      <c r="H44" s="128"/>
      <c r="I44" s="122"/>
    </row>
    <row r="45" spans="1:9" ht="15.75" customHeight="1" x14ac:dyDescent="0.3">
      <c r="A45" s="130">
        <v>42</v>
      </c>
      <c r="B45" s="140" t="s">
        <v>210</v>
      </c>
      <c r="C45" s="141"/>
      <c r="D45" s="142"/>
      <c r="E45" s="143"/>
      <c r="F45" s="143"/>
      <c r="G45" s="144"/>
      <c r="H45" s="141"/>
      <c r="I45" s="118"/>
    </row>
    <row r="46" spans="1:9" ht="15.75" customHeight="1" x14ac:dyDescent="0.3">
      <c r="A46" s="130">
        <v>43</v>
      </c>
      <c r="B46" s="140" t="s">
        <v>204</v>
      </c>
      <c r="C46" s="144"/>
      <c r="D46" s="144"/>
      <c r="E46" s="145"/>
      <c r="F46" s="145"/>
      <c r="G46" s="144"/>
      <c r="H46" s="144"/>
    </row>
    <row r="47" spans="1:9" ht="15.75" customHeight="1" x14ac:dyDescent="0.3">
      <c r="A47" s="130">
        <v>44</v>
      </c>
      <c r="B47" s="125" t="s">
        <v>205</v>
      </c>
      <c r="C47" s="125"/>
      <c r="D47" s="126">
        <v>468.06</v>
      </c>
      <c r="E47" s="127" t="s">
        <v>166</v>
      </c>
      <c r="F47" s="127"/>
      <c r="G47" s="128"/>
      <c r="H47" s="128"/>
    </row>
    <row r="48" spans="1:9" ht="15.75" customHeight="1" x14ac:dyDescent="0.3">
      <c r="A48" s="130">
        <v>45</v>
      </c>
      <c r="B48" s="125" t="s">
        <v>202</v>
      </c>
      <c r="C48" s="125"/>
      <c r="D48" s="126">
        <v>8828.7900000000009</v>
      </c>
      <c r="E48" s="127" t="s">
        <v>38</v>
      </c>
      <c r="F48" s="127"/>
      <c r="G48" s="128"/>
      <c r="H48" s="128"/>
    </row>
    <row r="49" spans="1:10" ht="15.75" customHeight="1" x14ac:dyDescent="0.3">
      <c r="A49" s="130">
        <v>46</v>
      </c>
      <c r="B49" s="125" t="s">
        <v>196</v>
      </c>
      <c r="C49" s="125"/>
      <c r="D49" s="126">
        <v>112.34</v>
      </c>
      <c r="E49" s="127" t="s">
        <v>35</v>
      </c>
      <c r="F49" s="127"/>
      <c r="G49" s="128"/>
      <c r="H49" s="128"/>
    </row>
    <row r="50" spans="1:10" ht="15.75" customHeight="1" x14ac:dyDescent="0.3">
      <c r="A50" s="130">
        <v>47</v>
      </c>
      <c r="B50" s="125" t="s">
        <v>203</v>
      </c>
      <c r="C50" s="125"/>
      <c r="D50" s="126">
        <v>468.06</v>
      </c>
      <c r="E50" s="127" t="s">
        <v>166</v>
      </c>
      <c r="F50" s="127"/>
      <c r="G50" s="128"/>
      <c r="H50" s="128"/>
      <c r="I50" s="122"/>
    </row>
    <row r="51" spans="1:10" ht="15.75" customHeight="1" x14ac:dyDescent="0.3">
      <c r="A51" s="130">
        <v>48</v>
      </c>
      <c r="B51" s="140" t="s">
        <v>206</v>
      </c>
      <c r="C51" s="141"/>
      <c r="D51" s="142"/>
      <c r="E51" s="143"/>
      <c r="F51" s="143"/>
      <c r="G51" s="144"/>
      <c r="H51" s="141"/>
      <c r="I51" s="118"/>
    </row>
    <row r="52" spans="1:10" ht="15.75" customHeight="1" x14ac:dyDescent="0.3">
      <c r="A52" s="130">
        <v>49</v>
      </c>
      <c r="B52" s="131" t="s">
        <v>207</v>
      </c>
      <c r="C52" s="131"/>
      <c r="D52" s="126">
        <v>289.8</v>
      </c>
      <c r="E52" s="132" t="s">
        <v>166</v>
      </c>
      <c r="F52" s="132"/>
      <c r="G52" s="128"/>
      <c r="H52" s="128"/>
    </row>
    <row r="53" spans="1:10" ht="15.75" customHeight="1" x14ac:dyDescent="0.3">
      <c r="A53" s="130">
        <v>50</v>
      </c>
      <c r="B53" s="131" t="s">
        <v>202</v>
      </c>
      <c r="C53" s="131"/>
      <c r="D53" s="126">
        <v>2933.48</v>
      </c>
      <c r="E53" s="132" t="s">
        <v>38</v>
      </c>
      <c r="F53" s="132"/>
      <c r="G53" s="128"/>
      <c r="H53" s="128"/>
    </row>
    <row r="54" spans="1:10" ht="15.75" customHeight="1" x14ac:dyDescent="0.3">
      <c r="A54" s="130">
        <v>51</v>
      </c>
      <c r="B54" s="131" t="s">
        <v>196</v>
      </c>
      <c r="C54" s="131"/>
      <c r="D54" s="126">
        <v>24.9</v>
      </c>
      <c r="E54" s="132" t="s">
        <v>35</v>
      </c>
      <c r="F54" s="132"/>
      <c r="G54" s="128"/>
      <c r="H54" s="128"/>
    </row>
    <row r="55" spans="1:10" ht="15.75" customHeight="1" x14ac:dyDescent="0.3">
      <c r="A55" s="130">
        <v>52</v>
      </c>
      <c r="B55" s="131" t="s">
        <v>203</v>
      </c>
      <c r="C55" s="131"/>
      <c r="D55" s="126">
        <v>289.8</v>
      </c>
      <c r="E55" s="132" t="s">
        <v>166</v>
      </c>
      <c r="F55" s="132"/>
      <c r="G55" s="128"/>
      <c r="H55" s="128"/>
      <c r="I55" s="122"/>
      <c r="J55" s="119"/>
    </row>
    <row r="56" spans="1:10" ht="15.75" customHeight="1" x14ac:dyDescent="0.3">
      <c r="A56" s="130">
        <v>53</v>
      </c>
      <c r="B56" s="146" t="s">
        <v>208</v>
      </c>
      <c r="C56" s="147"/>
      <c r="D56" s="142"/>
      <c r="E56" s="148"/>
      <c r="F56" s="148"/>
      <c r="G56" s="141"/>
      <c r="H56" s="141"/>
      <c r="I56" s="118"/>
    </row>
    <row r="57" spans="1:10" ht="15.75" customHeight="1" x14ac:dyDescent="0.3">
      <c r="A57" s="130">
        <v>54</v>
      </c>
      <c r="B57" s="131" t="s">
        <v>209</v>
      </c>
      <c r="C57" s="131"/>
      <c r="D57" s="126">
        <v>327.60000000000002</v>
      </c>
      <c r="E57" s="132" t="s">
        <v>166</v>
      </c>
      <c r="F57" s="132"/>
      <c r="G57" s="128"/>
      <c r="H57" s="128"/>
    </row>
    <row r="58" spans="1:10" ht="15.75" customHeight="1" x14ac:dyDescent="0.3">
      <c r="A58" s="130">
        <v>55</v>
      </c>
      <c r="B58" s="131" t="s">
        <v>202</v>
      </c>
      <c r="C58" s="131"/>
      <c r="D58" s="126">
        <v>5573</v>
      </c>
      <c r="E58" s="132" t="s">
        <v>38</v>
      </c>
      <c r="F58" s="132"/>
      <c r="G58" s="128"/>
      <c r="H58" s="128"/>
    </row>
    <row r="59" spans="1:10" ht="15.75" customHeight="1" x14ac:dyDescent="0.3">
      <c r="A59" s="130">
        <v>56</v>
      </c>
      <c r="B59" s="131" t="s">
        <v>196</v>
      </c>
      <c r="C59" s="131"/>
      <c r="D59" s="126">
        <v>23.69</v>
      </c>
      <c r="E59" s="132" t="s">
        <v>35</v>
      </c>
      <c r="F59" s="132"/>
      <c r="G59" s="128"/>
      <c r="H59" s="128"/>
    </row>
    <row r="60" spans="1:10" ht="15.75" customHeight="1" x14ac:dyDescent="0.3">
      <c r="A60" s="130">
        <v>57</v>
      </c>
      <c r="B60" s="131" t="s">
        <v>203</v>
      </c>
      <c r="C60" s="131"/>
      <c r="D60" s="126">
        <v>327.60000000000002</v>
      </c>
      <c r="E60" s="132" t="s">
        <v>166</v>
      </c>
      <c r="F60" s="132"/>
      <c r="G60" s="128"/>
      <c r="H60" s="128"/>
      <c r="I60" s="122"/>
    </row>
    <row r="61" spans="1:10" ht="15.75" customHeight="1" x14ac:dyDescent="0.3">
      <c r="A61" s="130">
        <v>58</v>
      </c>
      <c r="B61" s="146" t="s">
        <v>211</v>
      </c>
      <c r="C61" s="147"/>
      <c r="D61" s="142"/>
      <c r="E61" s="148"/>
      <c r="F61" s="148"/>
      <c r="G61" s="141"/>
      <c r="H61" s="141"/>
      <c r="I61" s="118"/>
    </row>
    <row r="62" spans="1:10" ht="15.75" customHeight="1" x14ac:dyDescent="0.3">
      <c r="A62" s="130">
        <v>59</v>
      </c>
      <c r="B62" s="146" t="s">
        <v>212</v>
      </c>
      <c r="C62" s="147"/>
      <c r="D62" s="142"/>
      <c r="E62" s="148"/>
      <c r="F62" s="148"/>
      <c r="G62" s="141"/>
      <c r="H62" s="141"/>
    </row>
    <row r="63" spans="1:10" ht="15.75" customHeight="1" x14ac:dyDescent="0.3">
      <c r="A63" s="130">
        <v>60</v>
      </c>
      <c r="B63" s="131" t="s">
        <v>213</v>
      </c>
      <c r="C63" s="131"/>
      <c r="D63" s="126">
        <v>468.06</v>
      </c>
      <c r="E63" s="132" t="s">
        <v>166</v>
      </c>
      <c r="F63" s="132"/>
      <c r="G63" s="128"/>
      <c r="H63" s="128"/>
    </row>
    <row r="64" spans="1:10" ht="15.75" customHeight="1" x14ac:dyDescent="0.3">
      <c r="A64" s="130">
        <v>61</v>
      </c>
      <c r="B64" s="131" t="s">
        <v>202</v>
      </c>
      <c r="C64" s="131"/>
      <c r="D64" s="126">
        <v>8828.7900000000009</v>
      </c>
      <c r="E64" s="132" t="s">
        <v>38</v>
      </c>
      <c r="F64" s="132"/>
      <c r="G64" s="128"/>
      <c r="H64" s="128"/>
    </row>
    <row r="65" spans="1:9" ht="15.75" customHeight="1" x14ac:dyDescent="0.3">
      <c r="A65" s="130">
        <v>62</v>
      </c>
      <c r="B65" s="131" t="s">
        <v>196</v>
      </c>
      <c r="C65" s="131"/>
      <c r="D65" s="126">
        <v>112.34</v>
      </c>
      <c r="E65" s="132" t="s">
        <v>35</v>
      </c>
      <c r="F65" s="132"/>
      <c r="G65" s="128"/>
      <c r="H65" s="128"/>
    </row>
    <row r="66" spans="1:9" ht="15.75" customHeight="1" x14ac:dyDescent="0.3">
      <c r="A66" s="130">
        <v>63</v>
      </c>
      <c r="B66" s="131" t="s">
        <v>203</v>
      </c>
      <c r="C66" s="131"/>
      <c r="D66" s="126">
        <v>468.06</v>
      </c>
      <c r="E66" s="132" t="s">
        <v>166</v>
      </c>
      <c r="F66" s="132"/>
      <c r="G66" s="128"/>
      <c r="H66" s="128"/>
      <c r="I66" s="122"/>
    </row>
    <row r="67" spans="1:9" ht="15.75" customHeight="1" x14ac:dyDescent="0.3">
      <c r="A67" s="130">
        <v>64</v>
      </c>
      <c r="B67" s="146" t="s">
        <v>214</v>
      </c>
      <c r="C67" s="147"/>
      <c r="D67" s="142"/>
      <c r="E67" s="148"/>
      <c r="F67" s="148"/>
      <c r="G67" s="141"/>
      <c r="H67" s="141"/>
      <c r="I67" s="118"/>
    </row>
    <row r="68" spans="1:9" ht="15.75" customHeight="1" x14ac:dyDescent="0.3">
      <c r="A68" s="130">
        <v>65</v>
      </c>
      <c r="B68" s="146" t="s">
        <v>215</v>
      </c>
      <c r="C68" s="147"/>
      <c r="D68" s="142"/>
      <c r="E68" s="148"/>
      <c r="F68" s="148"/>
      <c r="G68" s="141"/>
      <c r="H68" s="141"/>
    </row>
    <row r="69" spans="1:9" ht="15.75" customHeight="1" x14ac:dyDescent="0.3">
      <c r="A69" s="130">
        <v>66</v>
      </c>
      <c r="B69" s="131" t="s">
        <v>216</v>
      </c>
      <c r="C69" s="131"/>
      <c r="D69" s="126">
        <v>55</v>
      </c>
      <c r="E69" s="132" t="s">
        <v>166</v>
      </c>
      <c r="F69" s="132"/>
      <c r="G69" s="128"/>
      <c r="H69" s="128"/>
    </row>
    <row r="70" spans="1:9" ht="15.75" customHeight="1" x14ac:dyDescent="0.3">
      <c r="A70" s="130">
        <v>67</v>
      </c>
      <c r="B70" s="131" t="s">
        <v>202</v>
      </c>
      <c r="C70" s="131"/>
      <c r="D70" s="126">
        <v>500.44</v>
      </c>
      <c r="E70" s="132" t="s">
        <v>38</v>
      </c>
      <c r="F70" s="132"/>
      <c r="G70" s="128"/>
      <c r="H70" s="128"/>
    </row>
    <row r="71" spans="1:9" ht="15.75" customHeight="1" x14ac:dyDescent="0.3">
      <c r="A71" s="130">
        <v>68</v>
      </c>
      <c r="B71" s="131" t="s">
        <v>196</v>
      </c>
      <c r="C71" s="131"/>
      <c r="D71" s="126">
        <v>4.25</v>
      </c>
      <c r="E71" s="132" t="s">
        <v>35</v>
      </c>
      <c r="F71" s="132"/>
      <c r="G71" s="128"/>
      <c r="H71" s="128"/>
    </row>
    <row r="72" spans="1:9" ht="15.75" customHeight="1" x14ac:dyDescent="0.3">
      <c r="A72" s="130">
        <v>69</v>
      </c>
      <c r="B72" s="131" t="s">
        <v>203</v>
      </c>
      <c r="C72" s="131"/>
      <c r="D72" s="126">
        <v>55</v>
      </c>
      <c r="E72" s="132" t="s">
        <v>166</v>
      </c>
      <c r="F72" s="132"/>
      <c r="G72" s="128"/>
      <c r="H72" s="128"/>
      <c r="I72" s="122"/>
    </row>
    <row r="73" spans="1:9" ht="15.75" customHeight="1" x14ac:dyDescent="0.3">
      <c r="A73" s="130">
        <v>70</v>
      </c>
      <c r="B73" s="149" t="s">
        <v>217</v>
      </c>
      <c r="C73" s="147"/>
      <c r="D73" s="142"/>
      <c r="E73" s="148"/>
      <c r="F73" s="148"/>
      <c r="G73" s="141"/>
      <c r="H73" s="141"/>
      <c r="I73" s="118"/>
    </row>
    <row r="74" spans="1:9" ht="15.75" customHeight="1" x14ac:dyDescent="0.3">
      <c r="A74" s="130">
        <v>71</v>
      </c>
      <c r="B74" s="131" t="s">
        <v>218</v>
      </c>
      <c r="C74" s="131"/>
      <c r="D74" s="126">
        <v>55</v>
      </c>
      <c r="E74" s="132" t="s">
        <v>166</v>
      </c>
      <c r="F74" s="132"/>
      <c r="G74" s="128"/>
      <c r="H74" s="128"/>
    </row>
    <row r="75" spans="1:9" ht="15.75" customHeight="1" x14ac:dyDescent="0.3">
      <c r="A75" s="130">
        <v>72</v>
      </c>
      <c r="B75" s="131" t="s">
        <v>202</v>
      </c>
      <c r="C75" s="131"/>
      <c r="D75" s="126">
        <v>500.44</v>
      </c>
      <c r="E75" s="132" t="s">
        <v>38</v>
      </c>
      <c r="F75" s="132"/>
      <c r="G75" s="128"/>
      <c r="H75" s="128"/>
    </row>
    <row r="76" spans="1:9" ht="15.75" customHeight="1" x14ac:dyDescent="0.3">
      <c r="A76" s="130">
        <v>73</v>
      </c>
      <c r="B76" s="131" t="s">
        <v>196</v>
      </c>
      <c r="C76" s="131"/>
      <c r="D76" s="126">
        <v>4.25</v>
      </c>
      <c r="E76" s="132" t="s">
        <v>35</v>
      </c>
      <c r="F76" s="132"/>
      <c r="G76" s="128"/>
      <c r="H76" s="128"/>
    </row>
    <row r="77" spans="1:9" ht="15.75" customHeight="1" x14ac:dyDescent="0.3">
      <c r="A77" s="130">
        <v>74</v>
      </c>
      <c r="B77" s="131" t="s">
        <v>203</v>
      </c>
      <c r="C77" s="131"/>
      <c r="D77" s="126">
        <v>55</v>
      </c>
      <c r="E77" s="132" t="s">
        <v>166</v>
      </c>
      <c r="F77" s="132"/>
      <c r="G77" s="128"/>
      <c r="H77" s="128"/>
      <c r="I77" s="122"/>
    </row>
    <row r="78" spans="1:9" ht="15.75" customHeight="1" x14ac:dyDescent="0.3">
      <c r="A78" s="130">
        <v>75</v>
      </c>
      <c r="B78" s="133" t="s">
        <v>219</v>
      </c>
      <c r="C78" s="124"/>
      <c r="D78" s="124"/>
      <c r="E78" s="124"/>
      <c r="F78" s="124"/>
      <c r="G78" s="124"/>
      <c r="H78" s="129"/>
      <c r="I78" s="118"/>
    </row>
    <row r="79" spans="1:9" ht="15.75" customHeight="1" x14ac:dyDescent="0.3">
      <c r="A79" s="130">
        <v>76</v>
      </c>
      <c r="B79" s="146" t="s">
        <v>220</v>
      </c>
      <c r="C79" s="147"/>
      <c r="D79" s="142"/>
      <c r="E79" s="148"/>
      <c r="F79" s="148"/>
      <c r="G79" s="141"/>
      <c r="H79" s="141"/>
    </row>
    <row r="80" spans="1:9" ht="15.75" customHeight="1" x14ac:dyDescent="0.3">
      <c r="A80" s="130">
        <v>77</v>
      </c>
      <c r="B80" s="146" t="s">
        <v>199</v>
      </c>
      <c r="C80" s="147"/>
      <c r="D80" s="142"/>
      <c r="E80" s="148"/>
      <c r="F80" s="148"/>
      <c r="G80" s="141"/>
      <c r="H80" s="141"/>
    </row>
    <row r="81" spans="1:9" ht="15.75" customHeight="1" x14ac:dyDescent="0.3">
      <c r="A81" s="130">
        <v>78</v>
      </c>
      <c r="B81" s="131" t="s">
        <v>221</v>
      </c>
      <c r="C81" s="131"/>
      <c r="D81" s="126">
        <v>456.99</v>
      </c>
      <c r="E81" s="132" t="s">
        <v>166</v>
      </c>
      <c r="F81" s="132"/>
      <c r="G81" s="128"/>
      <c r="H81" s="128"/>
      <c r="I81" s="118"/>
    </row>
    <row r="82" spans="1:9" ht="15.75" customHeight="1" x14ac:dyDescent="0.3">
      <c r="A82" s="130">
        <v>79</v>
      </c>
      <c r="B82" s="131" t="s">
        <v>222</v>
      </c>
      <c r="C82" s="131"/>
      <c r="D82" s="126">
        <v>1715.6</v>
      </c>
      <c r="E82" s="132" t="s">
        <v>166</v>
      </c>
      <c r="F82" s="132"/>
      <c r="G82" s="128"/>
      <c r="H82" s="128"/>
    </row>
    <row r="83" spans="1:9" ht="15.75" customHeight="1" x14ac:dyDescent="0.3">
      <c r="A83" s="130">
        <v>80</v>
      </c>
      <c r="B83" s="131" t="s">
        <v>223</v>
      </c>
      <c r="C83" s="131"/>
      <c r="D83" s="126">
        <f>D82*2</f>
        <v>3431.2</v>
      </c>
      <c r="E83" s="132" t="s">
        <v>166</v>
      </c>
      <c r="F83" s="132"/>
      <c r="G83" s="128"/>
      <c r="H83" s="128"/>
    </row>
    <row r="84" spans="1:9" ht="15.75" customHeight="1" x14ac:dyDescent="0.3">
      <c r="A84" s="130">
        <v>81</v>
      </c>
      <c r="B84" s="125" t="s">
        <v>224</v>
      </c>
      <c r="C84" s="125"/>
      <c r="D84" s="126">
        <v>456.92</v>
      </c>
      <c r="E84" s="127" t="s">
        <v>166</v>
      </c>
      <c r="F84" s="127"/>
      <c r="G84" s="128"/>
      <c r="H84" s="128"/>
      <c r="I84" s="118"/>
    </row>
    <row r="85" spans="1:9" ht="15.75" customHeight="1" x14ac:dyDescent="0.3">
      <c r="A85" s="130">
        <v>82</v>
      </c>
      <c r="B85" s="140" t="s">
        <v>210</v>
      </c>
      <c r="C85" s="141"/>
      <c r="D85" s="142"/>
      <c r="E85" s="143"/>
      <c r="F85" s="143"/>
      <c r="G85" s="144"/>
      <c r="H85" s="141"/>
    </row>
    <row r="86" spans="1:9" ht="15.75" customHeight="1" x14ac:dyDescent="0.3">
      <c r="A86" s="130">
        <v>83</v>
      </c>
      <c r="B86" s="125" t="s">
        <v>221</v>
      </c>
      <c r="C86" s="125"/>
      <c r="D86" s="126">
        <v>456.79</v>
      </c>
      <c r="E86" s="127" t="s">
        <v>166</v>
      </c>
      <c r="F86" s="127"/>
      <c r="G86" s="128"/>
      <c r="H86" s="128"/>
    </row>
    <row r="87" spans="1:9" ht="15.75" customHeight="1" x14ac:dyDescent="0.3">
      <c r="A87" s="130">
        <v>84</v>
      </c>
      <c r="B87" s="125" t="s">
        <v>222</v>
      </c>
      <c r="C87" s="125"/>
      <c r="D87" s="126">
        <v>1860.72</v>
      </c>
      <c r="E87" s="127" t="s">
        <v>166</v>
      </c>
      <c r="F87" s="127"/>
      <c r="G87" s="128"/>
      <c r="H87" s="128"/>
    </row>
    <row r="88" spans="1:9" ht="15.75" customHeight="1" x14ac:dyDescent="0.3">
      <c r="A88" s="130">
        <v>85</v>
      </c>
      <c r="B88" s="125" t="s">
        <v>223</v>
      </c>
      <c r="C88" s="125"/>
      <c r="D88" s="126">
        <f>D87*2</f>
        <v>3721.44</v>
      </c>
      <c r="E88" s="127" t="s">
        <v>166</v>
      </c>
      <c r="F88" s="127"/>
      <c r="G88" s="128"/>
      <c r="H88" s="128"/>
    </row>
    <row r="89" spans="1:9" ht="15.75" customHeight="1" x14ac:dyDescent="0.3">
      <c r="A89" s="130">
        <v>86</v>
      </c>
      <c r="B89" s="125" t="s">
        <v>224</v>
      </c>
      <c r="C89" s="125"/>
      <c r="D89" s="126">
        <v>456.72</v>
      </c>
      <c r="E89" s="127" t="s">
        <v>166</v>
      </c>
      <c r="F89" s="127"/>
      <c r="G89" s="128"/>
      <c r="H89" s="128"/>
      <c r="I89" s="118"/>
    </row>
    <row r="90" spans="1:9" ht="15.75" customHeight="1" x14ac:dyDescent="0.3">
      <c r="A90" s="130"/>
      <c r="B90" s="140" t="s">
        <v>219</v>
      </c>
      <c r="C90" s="140"/>
      <c r="D90" s="140"/>
      <c r="E90" s="150"/>
      <c r="F90" s="150"/>
      <c r="G90" s="140"/>
      <c r="H90" s="151"/>
    </row>
    <row r="91" spans="1:9" ht="15.75" customHeight="1" x14ac:dyDescent="0.3">
      <c r="A91" s="130"/>
      <c r="B91" s="140" t="s">
        <v>225</v>
      </c>
      <c r="C91" s="140"/>
      <c r="D91" s="140"/>
      <c r="E91" s="150"/>
      <c r="F91" s="150"/>
      <c r="G91" s="140"/>
      <c r="H91" s="151"/>
    </row>
    <row r="92" spans="1:9" ht="15.75" customHeight="1" x14ac:dyDescent="0.3">
      <c r="B92" s="120"/>
      <c r="C92" s="121"/>
      <c r="D92" s="121"/>
      <c r="E92" s="121"/>
      <c r="F92" s="121"/>
      <c r="G92" s="121"/>
    </row>
    <row r="93" spans="1:9" ht="15.75" customHeight="1" x14ac:dyDescent="0.3">
      <c r="D93" s="116"/>
    </row>
    <row r="94" spans="1:9" ht="15.75" customHeight="1" x14ac:dyDescent="0.3">
      <c r="D94" s="116"/>
    </row>
    <row r="95" spans="1:9" ht="15.75" customHeight="1" x14ac:dyDescent="0.3">
      <c r="D95" s="116"/>
    </row>
    <row r="96" spans="1:9" ht="15.75" customHeight="1" x14ac:dyDescent="0.3">
      <c r="D96" s="116"/>
    </row>
    <row r="97" spans="4:4" ht="15.75" customHeight="1" x14ac:dyDescent="0.3">
      <c r="D97" s="116"/>
    </row>
    <row r="98" spans="4:4" ht="15.75" customHeight="1" x14ac:dyDescent="0.3">
      <c r="D98" s="116"/>
    </row>
    <row r="99" spans="4:4" ht="15.75" customHeight="1" x14ac:dyDescent="0.3">
      <c r="D99" s="116"/>
    </row>
    <row r="100" spans="4:4" ht="15.75" customHeight="1" x14ac:dyDescent="0.3">
      <c r="D100" s="116"/>
    </row>
    <row r="101" spans="4:4" ht="15.75" customHeight="1" x14ac:dyDescent="0.3">
      <c r="D101" s="116"/>
    </row>
    <row r="102" spans="4:4" ht="15.75" customHeight="1" x14ac:dyDescent="0.3">
      <c r="D102" s="116"/>
    </row>
    <row r="103" spans="4:4" ht="15.75" customHeight="1" x14ac:dyDescent="0.3">
      <c r="D103" s="116"/>
    </row>
    <row r="104" spans="4:4" ht="15.75" customHeight="1" x14ac:dyDescent="0.3">
      <c r="D104" s="116"/>
    </row>
    <row r="105" spans="4:4" ht="15.75" customHeight="1" x14ac:dyDescent="0.3">
      <c r="D105" s="116"/>
    </row>
    <row r="106" spans="4:4" ht="15.75" customHeight="1" x14ac:dyDescent="0.3">
      <c r="D106" s="116"/>
    </row>
    <row r="107" spans="4:4" ht="15.75" customHeight="1" x14ac:dyDescent="0.3">
      <c r="D107" s="116"/>
    </row>
    <row r="108" spans="4:4" ht="15.75" customHeight="1" x14ac:dyDescent="0.3">
      <c r="D108" s="116"/>
    </row>
    <row r="109" spans="4:4" ht="15.75" customHeight="1" x14ac:dyDescent="0.3">
      <c r="D109" s="116"/>
    </row>
    <row r="110" spans="4:4" ht="15.75" customHeight="1" x14ac:dyDescent="0.3">
      <c r="D110" s="116"/>
    </row>
    <row r="111" spans="4:4" ht="15.75" customHeight="1" x14ac:dyDescent="0.3">
      <c r="D111" s="116"/>
    </row>
    <row r="112" spans="4:4" ht="15.75" customHeight="1" x14ac:dyDescent="0.3">
      <c r="D112" s="116"/>
    </row>
    <row r="113" spans="4:4" ht="15.75" customHeight="1" x14ac:dyDescent="0.3">
      <c r="D113" s="116"/>
    </row>
    <row r="114" spans="4:4" ht="15.75" customHeight="1" x14ac:dyDescent="0.3">
      <c r="D114" s="116"/>
    </row>
    <row r="115" spans="4:4" ht="15.75" customHeight="1" x14ac:dyDescent="0.3">
      <c r="D115" s="116"/>
    </row>
    <row r="116" spans="4:4" ht="15.75" customHeight="1" x14ac:dyDescent="0.3">
      <c r="D116" s="116"/>
    </row>
    <row r="117" spans="4:4" ht="15.75" customHeight="1" x14ac:dyDescent="0.3">
      <c r="D117" s="116"/>
    </row>
    <row r="118" spans="4:4" ht="15.75" customHeight="1" x14ac:dyDescent="0.3">
      <c r="D118" s="116"/>
    </row>
    <row r="119" spans="4:4" ht="15.75" customHeight="1" x14ac:dyDescent="0.3">
      <c r="D119" s="116"/>
    </row>
    <row r="120" spans="4:4" ht="15.75" customHeight="1" x14ac:dyDescent="0.3">
      <c r="D120" s="116"/>
    </row>
    <row r="121" spans="4:4" ht="15.75" customHeight="1" x14ac:dyDescent="0.3">
      <c r="D121" s="116"/>
    </row>
    <row r="122" spans="4:4" ht="15.75" customHeight="1" x14ac:dyDescent="0.3">
      <c r="D122" s="116"/>
    </row>
    <row r="123" spans="4:4" ht="15.75" customHeight="1" x14ac:dyDescent="0.3">
      <c r="D123" s="116"/>
    </row>
    <row r="124" spans="4:4" ht="15.75" customHeight="1" x14ac:dyDescent="0.3">
      <c r="D124" s="116"/>
    </row>
    <row r="125" spans="4:4" ht="15.75" customHeight="1" x14ac:dyDescent="0.3">
      <c r="D125" s="116"/>
    </row>
    <row r="126" spans="4:4" ht="15.75" customHeight="1" x14ac:dyDescent="0.3">
      <c r="D126" s="116"/>
    </row>
    <row r="127" spans="4:4" ht="15.75" customHeight="1" x14ac:dyDescent="0.3">
      <c r="D127" s="116"/>
    </row>
    <row r="128" spans="4:4" ht="15.75" customHeight="1" x14ac:dyDescent="0.3">
      <c r="D128" s="116"/>
    </row>
    <row r="129" spans="4:4" ht="15.75" customHeight="1" x14ac:dyDescent="0.3">
      <c r="D129" s="116"/>
    </row>
    <row r="130" spans="4:4" ht="15.75" customHeight="1" x14ac:dyDescent="0.3">
      <c r="D130" s="116"/>
    </row>
    <row r="131" spans="4:4" ht="15.75" customHeight="1" x14ac:dyDescent="0.3">
      <c r="D131" s="116"/>
    </row>
    <row r="132" spans="4:4" ht="15.75" customHeight="1" x14ac:dyDescent="0.3">
      <c r="D132" s="116"/>
    </row>
    <row r="133" spans="4:4" ht="15.75" customHeight="1" x14ac:dyDescent="0.3">
      <c r="D133" s="116"/>
    </row>
    <row r="134" spans="4:4" ht="15.75" customHeight="1" x14ac:dyDescent="0.3">
      <c r="D134" s="116"/>
    </row>
    <row r="135" spans="4:4" ht="15.75" customHeight="1" x14ac:dyDescent="0.3">
      <c r="D135" s="116"/>
    </row>
    <row r="136" spans="4:4" ht="15.75" customHeight="1" x14ac:dyDescent="0.3">
      <c r="D136" s="116"/>
    </row>
    <row r="137" spans="4:4" ht="15.75" customHeight="1" x14ac:dyDescent="0.3">
      <c r="D137" s="116"/>
    </row>
    <row r="138" spans="4:4" ht="15.75" customHeight="1" x14ac:dyDescent="0.3">
      <c r="D138" s="116"/>
    </row>
    <row r="139" spans="4:4" ht="15.75" customHeight="1" x14ac:dyDescent="0.3">
      <c r="D139" s="116"/>
    </row>
    <row r="140" spans="4:4" ht="15.75" customHeight="1" x14ac:dyDescent="0.3">
      <c r="D140" s="116"/>
    </row>
    <row r="141" spans="4:4" ht="15.75" customHeight="1" x14ac:dyDescent="0.3">
      <c r="D141" s="116"/>
    </row>
    <row r="142" spans="4:4" ht="15.75" customHeight="1" x14ac:dyDescent="0.3">
      <c r="D142" s="116"/>
    </row>
    <row r="143" spans="4:4" ht="15.75" customHeight="1" x14ac:dyDescent="0.3">
      <c r="D143" s="116"/>
    </row>
    <row r="144" spans="4:4" ht="15.75" customHeight="1" x14ac:dyDescent="0.3">
      <c r="D144" s="116"/>
    </row>
    <row r="145" spans="4:4" ht="15.75" customHeight="1" x14ac:dyDescent="0.3">
      <c r="D145" s="116"/>
    </row>
    <row r="146" spans="4:4" ht="15.75" customHeight="1" x14ac:dyDescent="0.3">
      <c r="D146" s="116"/>
    </row>
    <row r="147" spans="4:4" ht="15.75" customHeight="1" x14ac:dyDescent="0.3">
      <c r="D147" s="116"/>
    </row>
    <row r="148" spans="4:4" ht="15.75" customHeight="1" x14ac:dyDescent="0.3">
      <c r="D148" s="116"/>
    </row>
    <row r="149" spans="4:4" ht="15.75" customHeight="1" x14ac:dyDescent="0.3">
      <c r="D149" s="116"/>
    </row>
    <row r="150" spans="4:4" ht="15.75" customHeight="1" x14ac:dyDescent="0.3">
      <c r="D150" s="116"/>
    </row>
    <row r="151" spans="4:4" ht="15.75" customHeight="1" x14ac:dyDescent="0.3">
      <c r="D151" s="116"/>
    </row>
    <row r="152" spans="4:4" ht="15.75" customHeight="1" x14ac:dyDescent="0.3">
      <c r="D152" s="116"/>
    </row>
    <row r="153" spans="4:4" ht="15.75" customHeight="1" x14ac:dyDescent="0.3">
      <c r="D153" s="116"/>
    </row>
    <row r="154" spans="4:4" ht="15.75" customHeight="1" x14ac:dyDescent="0.3">
      <c r="D154" s="116"/>
    </row>
    <row r="155" spans="4:4" ht="15.75" customHeight="1" x14ac:dyDescent="0.3">
      <c r="D155" s="116"/>
    </row>
    <row r="156" spans="4:4" ht="15.75" customHeight="1" x14ac:dyDescent="0.3">
      <c r="D156" s="116"/>
    </row>
    <row r="157" spans="4:4" ht="15.75" customHeight="1" x14ac:dyDescent="0.3">
      <c r="D157" s="116"/>
    </row>
    <row r="158" spans="4:4" ht="15.75" customHeight="1" x14ac:dyDescent="0.3">
      <c r="D158" s="116"/>
    </row>
    <row r="159" spans="4:4" ht="15.75" customHeight="1" x14ac:dyDescent="0.3">
      <c r="D159" s="116"/>
    </row>
    <row r="160" spans="4:4" ht="15.75" customHeight="1" x14ac:dyDescent="0.3">
      <c r="D160" s="116"/>
    </row>
    <row r="161" spans="4:4" ht="15.75" customHeight="1" x14ac:dyDescent="0.3">
      <c r="D161" s="116"/>
    </row>
    <row r="162" spans="4:4" ht="15.75" customHeight="1" x14ac:dyDescent="0.3">
      <c r="D162" s="116"/>
    </row>
    <row r="163" spans="4:4" ht="15.75" customHeight="1" x14ac:dyDescent="0.3">
      <c r="D163" s="116"/>
    </row>
    <row r="164" spans="4:4" ht="15.75" customHeight="1" x14ac:dyDescent="0.3">
      <c r="D164" s="116"/>
    </row>
    <row r="165" spans="4:4" ht="15.75" customHeight="1" x14ac:dyDescent="0.3">
      <c r="D165" s="116"/>
    </row>
    <row r="166" spans="4:4" ht="15.75" customHeight="1" x14ac:dyDescent="0.3">
      <c r="D166" s="116"/>
    </row>
    <row r="167" spans="4:4" ht="15.75" customHeight="1" x14ac:dyDescent="0.3">
      <c r="D167" s="116"/>
    </row>
    <row r="168" spans="4:4" ht="15.75" customHeight="1" x14ac:dyDescent="0.3">
      <c r="D168" s="116"/>
    </row>
    <row r="169" spans="4:4" ht="15.75" customHeight="1" x14ac:dyDescent="0.3">
      <c r="D169" s="116"/>
    </row>
    <row r="170" spans="4:4" ht="15.75" customHeight="1" x14ac:dyDescent="0.3">
      <c r="D170" s="116"/>
    </row>
    <row r="171" spans="4:4" ht="15.75" customHeight="1" x14ac:dyDescent="0.3">
      <c r="D171" s="116"/>
    </row>
    <row r="172" spans="4:4" ht="15.75" customHeight="1" x14ac:dyDescent="0.3">
      <c r="D172" s="116"/>
    </row>
    <row r="173" spans="4:4" ht="15.75" customHeight="1" x14ac:dyDescent="0.3">
      <c r="D173" s="116"/>
    </row>
    <row r="174" spans="4:4" ht="15.75" customHeight="1" x14ac:dyDescent="0.3">
      <c r="D174" s="116"/>
    </row>
    <row r="175" spans="4:4" ht="15.75" customHeight="1" x14ac:dyDescent="0.3">
      <c r="D175" s="116"/>
    </row>
    <row r="176" spans="4:4" ht="15.75" customHeight="1" x14ac:dyDescent="0.3">
      <c r="D176" s="116"/>
    </row>
    <row r="177" spans="4:4" ht="15.75" customHeight="1" x14ac:dyDescent="0.3">
      <c r="D177" s="116"/>
    </row>
    <row r="178" spans="4:4" ht="15.75" customHeight="1" x14ac:dyDescent="0.3">
      <c r="D178" s="116"/>
    </row>
    <row r="179" spans="4:4" ht="15.75" customHeight="1" x14ac:dyDescent="0.3">
      <c r="D179" s="116"/>
    </row>
    <row r="180" spans="4:4" ht="15.75" customHeight="1" x14ac:dyDescent="0.3">
      <c r="D180" s="116"/>
    </row>
    <row r="181" spans="4:4" ht="15.75" customHeight="1" x14ac:dyDescent="0.3">
      <c r="D181" s="116"/>
    </row>
    <row r="182" spans="4:4" ht="15.75" customHeight="1" x14ac:dyDescent="0.3">
      <c r="D182" s="116"/>
    </row>
    <row r="183" spans="4:4" ht="15.75" customHeight="1" x14ac:dyDescent="0.3">
      <c r="D183" s="116"/>
    </row>
    <row r="184" spans="4:4" ht="15.75" customHeight="1" x14ac:dyDescent="0.3">
      <c r="D184" s="116"/>
    </row>
    <row r="185" spans="4:4" ht="15.75" customHeight="1" x14ac:dyDescent="0.3">
      <c r="D185" s="116"/>
    </row>
    <row r="186" spans="4:4" ht="15.75" customHeight="1" x14ac:dyDescent="0.3">
      <c r="D186" s="116"/>
    </row>
    <row r="187" spans="4:4" ht="15.75" customHeight="1" x14ac:dyDescent="0.3">
      <c r="D187" s="116"/>
    </row>
    <row r="188" spans="4:4" ht="15.75" customHeight="1" x14ac:dyDescent="0.3">
      <c r="D188" s="116"/>
    </row>
    <row r="189" spans="4:4" ht="15.75" customHeight="1" x14ac:dyDescent="0.3">
      <c r="D189" s="116"/>
    </row>
    <row r="190" spans="4:4" ht="15.75" customHeight="1" x14ac:dyDescent="0.3">
      <c r="D190" s="116"/>
    </row>
    <row r="191" spans="4:4" ht="15.75" customHeight="1" x14ac:dyDescent="0.3">
      <c r="D191" s="116"/>
    </row>
    <row r="192" spans="4:4" ht="15.75" customHeight="1" x14ac:dyDescent="0.3">
      <c r="D192" s="116"/>
    </row>
    <row r="193" spans="4:4" ht="15.75" customHeight="1" x14ac:dyDescent="0.3">
      <c r="D193" s="116"/>
    </row>
    <row r="194" spans="4:4" ht="15.75" customHeight="1" x14ac:dyDescent="0.3">
      <c r="D194" s="116"/>
    </row>
    <row r="195" spans="4:4" ht="15.75" customHeight="1" x14ac:dyDescent="0.3">
      <c r="D195" s="116"/>
    </row>
    <row r="196" spans="4:4" ht="15.75" customHeight="1" x14ac:dyDescent="0.3">
      <c r="D196" s="116"/>
    </row>
    <row r="197" spans="4:4" ht="15.75" customHeight="1" x14ac:dyDescent="0.3">
      <c r="D197" s="116"/>
    </row>
    <row r="198" spans="4:4" ht="15.75" customHeight="1" x14ac:dyDescent="0.3">
      <c r="D198" s="116"/>
    </row>
    <row r="199" spans="4:4" ht="15.75" customHeight="1" x14ac:dyDescent="0.3">
      <c r="D199" s="116"/>
    </row>
    <row r="200" spans="4:4" ht="15.75" customHeight="1" x14ac:dyDescent="0.3">
      <c r="D200" s="116"/>
    </row>
    <row r="201" spans="4:4" ht="15.75" customHeight="1" x14ac:dyDescent="0.3">
      <c r="D201" s="116"/>
    </row>
    <row r="202" spans="4:4" ht="15.75" customHeight="1" x14ac:dyDescent="0.3">
      <c r="D202" s="116"/>
    </row>
    <row r="203" spans="4:4" ht="15.75" customHeight="1" x14ac:dyDescent="0.3">
      <c r="D203" s="116"/>
    </row>
    <row r="204" spans="4:4" ht="15.75" customHeight="1" x14ac:dyDescent="0.3">
      <c r="D204" s="116"/>
    </row>
    <row r="205" spans="4:4" ht="15.75" customHeight="1" x14ac:dyDescent="0.3">
      <c r="D205" s="116"/>
    </row>
    <row r="206" spans="4:4" ht="15.75" customHeight="1" x14ac:dyDescent="0.3">
      <c r="D206" s="116"/>
    </row>
    <row r="207" spans="4:4" ht="15.75" customHeight="1" x14ac:dyDescent="0.3">
      <c r="D207" s="116"/>
    </row>
    <row r="208" spans="4:4" ht="15.75" customHeight="1" x14ac:dyDescent="0.3">
      <c r="D208" s="116"/>
    </row>
    <row r="209" spans="4:4" ht="15.75" customHeight="1" x14ac:dyDescent="0.3">
      <c r="D209" s="116"/>
    </row>
    <row r="210" spans="4:4" ht="15.75" customHeight="1" x14ac:dyDescent="0.3">
      <c r="D210" s="116"/>
    </row>
    <row r="211" spans="4:4" ht="15.75" customHeight="1" x14ac:dyDescent="0.3">
      <c r="D211" s="116"/>
    </row>
    <row r="212" spans="4:4" ht="15.75" customHeight="1" x14ac:dyDescent="0.3">
      <c r="D212" s="116"/>
    </row>
    <row r="213" spans="4:4" ht="15.75" customHeight="1" x14ac:dyDescent="0.3">
      <c r="D213" s="116"/>
    </row>
    <row r="214" spans="4:4" ht="15.75" customHeight="1" x14ac:dyDescent="0.3">
      <c r="D214" s="116"/>
    </row>
    <row r="215" spans="4:4" ht="15.75" customHeight="1" x14ac:dyDescent="0.3">
      <c r="D215" s="116"/>
    </row>
    <row r="216" spans="4:4" ht="15.75" customHeight="1" x14ac:dyDescent="0.3">
      <c r="D216" s="116"/>
    </row>
    <row r="217" spans="4:4" ht="15.75" customHeight="1" x14ac:dyDescent="0.3">
      <c r="D217" s="116"/>
    </row>
    <row r="218" spans="4:4" ht="15.75" customHeight="1" x14ac:dyDescent="0.3">
      <c r="D218" s="116"/>
    </row>
    <row r="219" spans="4:4" ht="15.75" customHeight="1" x14ac:dyDescent="0.3">
      <c r="D219" s="116"/>
    </row>
    <row r="220" spans="4:4" ht="15.75" customHeight="1" x14ac:dyDescent="0.3">
      <c r="D220" s="116"/>
    </row>
    <row r="221" spans="4:4" ht="15.75" customHeight="1" x14ac:dyDescent="0.3">
      <c r="D221" s="116"/>
    </row>
    <row r="222" spans="4:4" ht="15.75" customHeight="1" x14ac:dyDescent="0.3">
      <c r="D222" s="116"/>
    </row>
    <row r="223" spans="4:4" ht="15.75" customHeight="1" x14ac:dyDescent="0.3">
      <c r="D223" s="116"/>
    </row>
    <row r="224" spans="4:4" ht="15.75" customHeight="1" x14ac:dyDescent="0.3">
      <c r="D224" s="116"/>
    </row>
    <row r="225" spans="4:4" ht="15.75" customHeight="1" x14ac:dyDescent="0.3">
      <c r="D225" s="116"/>
    </row>
    <row r="226" spans="4:4" ht="15.75" customHeight="1" x14ac:dyDescent="0.3">
      <c r="D226" s="116"/>
    </row>
    <row r="227" spans="4:4" ht="15.75" customHeight="1" x14ac:dyDescent="0.3">
      <c r="D227" s="116"/>
    </row>
    <row r="228" spans="4:4" ht="15.75" customHeight="1" x14ac:dyDescent="0.3">
      <c r="D228" s="116"/>
    </row>
    <row r="229" spans="4:4" ht="15.75" customHeight="1" x14ac:dyDescent="0.3">
      <c r="D229" s="116"/>
    </row>
    <row r="230" spans="4:4" ht="15.75" customHeight="1" x14ac:dyDescent="0.3">
      <c r="D230" s="116"/>
    </row>
    <row r="231" spans="4:4" ht="15.75" customHeight="1" x14ac:dyDescent="0.3">
      <c r="D231" s="116"/>
    </row>
    <row r="232" spans="4:4" ht="15.75" customHeight="1" x14ac:dyDescent="0.3">
      <c r="D232" s="116"/>
    </row>
    <row r="233" spans="4:4" ht="15.75" customHeight="1" x14ac:dyDescent="0.3">
      <c r="D233" s="116"/>
    </row>
    <row r="234" spans="4:4" ht="15.75" customHeight="1" x14ac:dyDescent="0.3">
      <c r="D234" s="116"/>
    </row>
    <row r="235" spans="4:4" ht="15.75" customHeight="1" x14ac:dyDescent="0.3">
      <c r="D235" s="116"/>
    </row>
    <row r="236" spans="4:4" ht="15.75" customHeight="1" x14ac:dyDescent="0.3">
      <c r="D236" s="116"/>
    </row>
    <row r="237" spans="4:4" ht="15.75" customHeight="1" x14ac:dyDescent="0.3">
      <c r="D237" s="116"/>
    </row>
    <row r="238" spans="4:4" ht="15.75" customHeight="1" x14ac:dyDescent="0.3">
      <c r="D238" s="116"/>
    </row>
    <row r="239" spans="4:4" ht="15.75" customHeight="1" x14ac:dyDescent="0.3">
      <c r="D239" s="116"/>
    </row>
    <row r="240" spans="4:4" ht="15.75" customHeight="1" x14ac:dyDescent="0.3">
      <c r="D240" s="116"/>
    </row>
    <row r="241" spans="4:4" ht="15.75" customHeight="1" x14ac:dyDescent="0.3">
      <c r="D241" s="116"/>
    </row>
    <row r="242" spans="4:4" ht="15.75" customHeight="1" x14ac:dyDescent="0.3">
      <c r="D242" s="116"/>
    </row>
    <row r="243" spans="4:4" ht="15.75" customHeight="1" x14ac:dyDescent="0.3">
      <c r="D243" s="116"/>
    </row>
    <row r="244" spans="4:4" ht="15.75" customHeight="1" x14ac:dyDescent="0.3">
      <c r="D244" s="116"/>
    </row>
    <row r="245" spans="4:4" ht="15.75" customHeight="1" x14ac:dyDescent="0.3">
      <c r="D245" s="116"/>
    </row>
    <row r="246" spans="4:4" ht="15.75" customHeight="1" x14ac:dyDescent="0.3">
      <c r="D246" s="116"/>
    </row>
    <row r="247" spans="4:4" ht="15.75" customHeight="1" x14ac:dyDescent="0.3">
      <c r="D247" s="116"/>
    </row>
    <row r="248" spans="4:4" ht="15.75" customHeight="1" x14ac:dyDescent="0.3">
      <c r="D248" s="116"/>
    </row>
    <row r="249" spans="4:4" ht="15.75" customHeight="1" x14ac:dyDescent="0.3">
      <c r="D249" s="116"/>
    </row>
    <row r="250" spans="4:4" ht="15.75" customHeight="1" x14ac:dyDescent="0.3">
      <c r="D250" s="116"/>
    </row>
    <row r="251" spans="4:4" ht="15.75" customHeight="1" x14ac:dyDescent="0.3">
      <c r="D251" s="116"/>
    </row>
    <row r="252" spans="4:4" ht="15.75" customHeight="1" x14ac:dyDescent="0.3">
      <c r="D252" s="116"/>
    </row>
    <row r="253" spans="4:4" ht="15.75" customHeight="1" x14ac:dyDescent="0.3">
      <c r="D253" s="116"/>
    </row>
    <row r="254" spans="4:4" ht="15.75" customHeight="1" x14ac:dyDescent="0.3">
      <c r="D254" s="116"/>
    </row>
    <row r="255" spans="4:4" ht="15.75" customHeight="1" x14ac:dyDescent="0.3">
      <c r="D255" s="116"/>
    </row>
    <row r="256" spans="4:4" ht="15.75" customHeight="1" x14ac:dyDescent="0.3">
      <c r="D256" s="116"/>
    </row>
    <row r="257" spans="4:4" ht="15.75" customHeight="1" x14ac:dyDescent="0.3">
      <c r="D257" s="116"/>
    </row>
    <row r="258" spans="4:4" ht="15.75" customHeight="1" x14ac:dyDescent="0.3">
      <c r="D258" s="116"/>
    </row>
    <row r="259" spans="4:4" ht="15.75" customHeight="1" x14ac:dyDescent="0.3">
      <c r="D259" s="116"/>
    </row>
    <row r="260" spans="4:4" ht="15.75" customHeight="1" x14ac:dyDescent="0.3">
      <c r="D260" s="116"/>
    </row>
    <row r="261" spans="4:4" ht="15.75" customHeight="1" x14ac:dyDescent="0.3">
      <c r="D261" s="116"/>
    </row>
    <row r="262" spans="4:4" ht="15.75" customHeight="1" x14ac:dyDescent="0.3">
      <c r="D262" s="116"/>
    </row>
    <row r="263" spans="4:4" ht="15.75" customHeight="1" x14ac:dyDescent="0.3">
      <c r="D263" s="116"/>
    </row>
    <row r="264" spans="4:4" ht="15.75" customHeight="1" x14ac:dyDescent="0.3">
      <c r="D264" s="116"/>
    </row>
    <row r="265" spans="4:4" ht="15.75" customHeight="1" x14ac:dyDescent="0.3">
      <c r="D265" s="116"/>
    </row>
    <row r="266" spans="4:4" ht="15.75" customHeight="1" x14ac:dyDescent="0.3">
      <c r="D266" s="116"/>
    </row>
    <row r="267" spans="4:4" ht="15.75" customHeight="1" x14ac:dyDescent="0.3">
      <c r="D267" s="116"/>
    </row>
    <row r="268" spans="4:4" ht="15.75" customHeight="1" x14ac:dyDescent="0.3">
      <c r="D268" s="116"/>
    </row>
    <row r="269" spans="4:4" ht="15.75" customHeight="1" x14ac:dyDescent="0.3">
      <c r="D269" s="116"/>
    </row>
    <row r="270" spans="4:4" ht="15.75" customHeight="1" x14ac:dyDescent="0.3">
      <c r="D270" s="116"/>
    </row>
    <row r="271" spans="4:4" ht="15.75" customHeight="1" x14ac:dyDescent="0.3">
      <c r="D271" s="116"/>
    </row>
    <row r="272" spans="4:4" ht="15.75" customHeight="1" x14ac:dyDescent="0.3">
      <c r="D272" s="116"/>
    </row>
    <row r="273" spans="4:4" ht="15.75" customHeight="1" x14ac:dyDescent="0.3">
      <c r="D273" s="116"/>
    </row>
    <row r="274" spans="4:4" ht="15.75" customHeight="1" x14ac:dyDescent="0.3">
      <c r="D274" s="116"/>
    </row>
    <row r="275" spans="4:4" ht="15.75" customHeight="1" x14ac:dyDescent="0.3">
      <c r="D275" s="116"/>
    </row>
    <row r="276" spans="4:4" ht="15.75" customHeight="1" x14ac:dyDescent="0.3">
      <c r="D276" s="116"/>
    </row>
    <row r="277" spans="4:4" ht="15.75" customHeight="1" x14ac:dyDescent="0.3">
      <c r="D277" s="116"/>
    </row>
    <row r="278" spans="4:4" ht="15.75" customHeight="1" x14ac:dyDescent="0.3">
      <c r="D278" s="116"/>
    </row>
    <row r="279" spans="4:4" ht="15.75" customHeight="1" x14ac:dyDescent="0.3">
      <c r="D279" s="116"/>
    </row>
    <row r="280" spans="4:4" ht="15.75" customHeight="1" x14ac:dyDescent="0.3">
      <c r="D280" s="116"/>
    </row>
    <row r="281" spans="4:4" ht="15.75" customHeight="1" x14ac:dyDescent="0.3">
      <c r="D281" s="116"/>
    </row>
    <row r="282" spans="4:4" ht="15.75" customHeight="1" x14ac:dyDescent="0.3">
      <c r="D282" s="116"/>
    </row>
    <row r="283" spans="4:4" ht="15.75" customHeight="1" x14ac:dyDescent="0.3">
      <c r="D283" s="116"/>
    </row>
    <row r="284" spans="4:4" ht="15.75" customHeight="1" x14ac:dyDescent="0.3">
      <c r="D284" s="116"/>
    </row>
    <row r="285" spans="4:4" ht="15.75" customHeight="1" x14ac:dyDescent="0.3">
      <c r="D285" s="116"/>
    </row>
    <row r="286" spans="4:4" ht="15.75" customHeight="1" x14ac:dyDescent="0.3">
      <c r="D286" s="116"/>
    </row>
    <row r="287" spans="4:4" ht="15.75" customHeight="1" x14ac:dyDescent="0.3">
      <c r="D287" s="116"/>
    </row>
    <row r="288" spans="4:4" ht="15.75" customHeight="1" x14ac:dyDescent="0.3">
      <c r="D288" s="116"/>
    </row>
    <row r="289" spans="4:4" ht="15.75" customHeight="1" x14ac:dyDescent="0.3">
      <c r="D289" s="116"/>
    </row>
    <row r="290" spans="4:4" ht="15.75" customHeight="1" x14ac:dyDescent="0.3">
      <c r="D290" s="116"/>
    </row>
    <row r="291" spans="4:4" ht="15.75" customHeight="1" x14ac:dyDescent="0.3">
      <c r="D291" s="116"/>
    </row>
    <row r="292" spans="4:4" ht="15.75" customHeight="1" x14ac:dyDescent="0.3"/>
    <row r="293" spans="4:4" ht="15.75" customHeight="1" x14ac:dyDescent="0.3"/>
    <row r="294" spans="4:4" ht="15.75" customHeight="1" x14ac:dyDescent="0.3"/>
    <row r="295" spans="4:4" ht="15.75" customHeight="1" x14ac:dyDescent="0.3"/>
    <row r="296" spans="4:4" ht="15.75" customHeight="1" x14ac:dyDescent="0.3"/>
    <row r="297" spans="4:4" ht="15.75" customHeight="1" x14ac:dyDescent="0.3"/>
    <row r="298" spans="4:4" ht="15.75" customHeight="1" x14ac:dyDescent="0.3"/>
    <row r="299" spans="4:4" ht="15.75" customHeight="1" x14ac:dyDescent="0.3"/>
    <row r="300" spans="4:4" ht="15.75" customHeight="1" x14ac:dyDescent="0.3"/>
    <row r="301" spans="4:4" ht="15.75" customHeight="1" x14ac:dyDescent="0.3"/>
    <row r="302" spans="4:4" ht="15.75" customHeight="1" x14ac:dyDescent="0.3"/>
    <row r="303" spans="4:4" ht="15.75" customHeight="1" x14ac:dyDescent="0.3"/>
    <row r="304" spans="4: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5">
    <mergeCell ref="A2:H2"/>
    <mergeCell ref="B4:H4"/>
    <mergeCell ref="B12:G12"/>
    <mergeCell ref="B78:G78"/>
    <mergeCell ref="B92:G92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AHSP GEDUNG</vt:lpstr>
      <vt:lpstr>RESOURCE 1</vt:lpstr>
      <vt:lpstr>RAB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Aye</dc:creator>
  <cp:lastModifiedBy>Najwa Aye</cp:lastModifiedBy>
  <dcterms:created xsi:type="dcterms:W3CDTF">2026-09-01T15:09:41Z</dcterms:created>
  <dcterms:modified xsi:type="dcterms:W3CDTF">2026-09-01T17:07:42Z</dcterms:modified>
</cp:coreProperties>
</file>