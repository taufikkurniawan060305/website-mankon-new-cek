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SISTEN MANKON\"/>
    </mc:Choice>
  </mc:AlternateContent>
  <xr:revisionPtr revIDLastSave="0" documentId="13_ncr:1_{2AAB272F-459C-4B79-8D54-3761DE3AFF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6" i="1"/>
  <c r="G17" i="1"/>
  <c r="K2" i="1"/>
  <c r="L14" i="1" l="1"/>
  <c r="M4" i="1"/>
  <c r="L13" i="1"/>
  <c r="J15" i="1" l="1"/>
  <c r="J18" i="1" s="1"/>
  <c r="K15" i="1"/>
  <c r="K4" i="1"/>
  <c r="K18" i="1" l="1"/>
  <c r="M7" i="1" s="1"/>
  <c r="K7" i="1"/>
  <c r="K9" i="1" l="1"/>
</calcChain>
</file>

<file path=xl/sharedStrings.xml><?xml version="1.0" encoding="utf-8"?>
<sst xmlns="http://schemas.openxmlformats.org/spreadsheetml/2006/main" count="69" uniqueCount="65">
  <si>
    <t>PERHITUNGAN VOLUME PENGECORAN BETON DPT TIPE 2</t>
  </si>
  <si>
    <t>PARAMETER DESAIN &amp; GEOMETRI DPT TIPE 2</t>
  </si>
  <si>
    <t>Simbol</t>
  </si>
  <si>
    <t>Parameter / Dimensi DPT</t>
  </si>
  <si>
    <t>Nilai</t>
  </si>
  <si>
    <t>Satuan</t>
  </si>
  <si>
    <t>Keterangan Gambar Acuan</t>
  </si>
  <si>
    <t>BETON DINDING (STEM)</t>
  </si>
  <si>
    <t>BETON PONDASI TAPAK (FOOTING)</t>
  </si>
  <si>
    <t>L</t>
  </si>
  <si>
    <t>Panjang DPT yang Ditinjau</t>
  </si>
  <si>
    <t>m</t>
  </si>
  <si>
    <t>Panjang segmen dinding (dapat disesuaikan)</t>
  </si>
  <si>
    <t>H_stem</t>
  </si>
  <si>
    <t>Tinggi Dinding Vertikal (Stem)</t>
  </si>
  <si>
    <t>Tinggi dinding di atas tapak (6.00 + 1.20 m)</t>
  </si>
  <si>
    <t>m³ (Dinding Penahan Vertikal)</t>
  </si>
  <si>
    <t>m³ (Pelat Pondasi Penopang)</t>
  </si>
  <si>
    <t>B_stem</t>
  </si>
  <si>
    <t>Tebal Dinding Vertikal (Stem)</t>
  </si>
  <si>
    <t>Tebal penampang vertikal konstan</t>
  </si>
  <si>
    <t>TOTAL BETON STRUKTURAL</t>
  </si>
  <si>
    <t>TOTAL COR &amp; PEKERJAAN ALAS</t>
  </si>
  <si>
    <t>B_foot</t>
  </si>
  <si>
    <t>Lebar Pondasi Tapak (Footing)</t>
  </si>
  <si>
    <t>Lebar total tapak (Toe 1.20 + 0.80 + Heel 2.60 m)</t>
  </si>
  <si>
    <t>H_foot</t>
  </si>
  <si>
    <t>Tebal Pondasi Tapak (Footing)</t>
  </si>
  <si>
    <t>Tebal pelat pondasi tapak penopang</t>
  </si>
  <si>
    <t>m³ (Stem + Tapak Pondasi)</t>
  </si>
  <si>
    <t>m³ (Beton + Lantai Kerja + Pasir)</t>
  </si>
  <si>
    <t>d'</t>
  </si>
  <si>
    <t>Tebal Selimut Beton (Cover)</t>
  </si>
  <si>
    <t>mm</t>
  </si>
  <si>
    <t>Selimut beton struktur sesuai gambar</t>
  </si>
  <si>
    <t>TABEL PERHITUNGAN VOLUME PENGECORAN BETON &amp; PEKERJAAN PERSIAPAN</t>
  </si>
  <si>
    <t>No.</t>
  </si>
  <si>
    <t>Uraian Pekerjaan / Komponen</t>
  </si>
  <si>
    <t>Panjang L (m)</t>
  </si>
  <si>
    <t>Lebar B (m)</t>
  </si>
  <si>
    <t>Tinggi H (m)</t>
  </si>
  <si>
    <t>Luas Penampang (m²)</t>
  </si>
  <si>
    <t>Total Volume (m³)</t>
  </si>
  <si>
    <t>Keterangan / Rumus Acuan</t>
  </si>
  <si>
    <t>Beton Dinding Vertikal (Stem)</t>
  </si>
  <si>
    <t>Beton Pondasi Tapak (Footing)</t>
  </si>
  <si>
    <t>SUBTOTAL BETON STRUKTURAL DPT (m³)</t>
  </si>
  <si>
    <t>Total beton DPT Tipe 2 (Stem + Footing)</t>
  </si>
  <si>
    <t>Lantai Kerja (Lean Concrete t=50mm)</t>
  </si>
  <si>
    <t>Lantai kerja tebal 50 mm bawah tapak</t>
  </si>
  <si>
    <t>Pasir Urug Bawah Pondasi (t=100mm)</t>
  </si>
  <si>
    <t>Pasir urug tebal 100 mm bawah lantai kerja</t>
  </si>
  <si>
    <t>TOTAL VOLUME COR &amp; PEKERJAAN ALAS (m³)</t>
  </si>
  <si>
    <t>Total beton struktural + non-struktural</t>
  </si>
  <si>
    <t>Catatan Teknis Parameter Panjang DPT (L):</t>
  </si>
  <si>
    <t>• Nilai L = 10,00 m (sel G4) merupakan panjang segmen dinding penahan tanah (DPT Tipe 2) yang ditinjau sebagai acuan perhitungan volume pengecoran.</t>
  </si>
  <si>
    <t>• Seluruh total volume pengecoran terhitung proporsional terhadap parameter panjang L dan dimensi penampang, serta dapat disesuaikan untuk panjang segmen rencana lainnya.</t>
  </si>
  <si>
    <t>10,XX</t>
  </si>
  <si>
    <t>Note</t>
  </si>
  <si>
    <t xml:space="preserve">1. </t>
  </si>
  <si>
    <t>Rumus Luas Penampang = B x H</t>
  </si>
  <si>
    <t xml:space="preserve">2. </t>
  </si>
  <si>
    <t>Rumus Volume = L x B x H</t>
  </si>
  <si>
    <t>By Gambar</t>
  </si>
  <si>
    <t>Perhitungan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</si>
</sst>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scheme val="minor"/>
    </font>
    <font>
      <b/>
      <sz val="12"/>
      <color rgb="FF1B365D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C3399"/>
      <name val="Times New Roman"/>
      <family val="1"/>
    </font>
    <font>
      <sz val="12"/>
      <color rgb="FF595959"/>
      <name val="Times New Roman"/>
      <family val="1"/>
    </font>
    <font>
      <sz val="12"/>
      <color rgb="FF666666"/>
      <name val="Times New Roman"/>
      <family val="1"/>
    </font>
    <font>
      <b/>
      <sz val="12"/>
      <color rgb="FF0C337F"/>
      <name val="Times New Roman"/>
      <family val="1"/>
    </font>
    <font>
      <b/>
      <sz val="12"/>
      <color rgb="FF191933"/>
      <name val="Times New Roman"/>
      <family val="1"/>
    </font>
    <font>
      <b/>
      <sz val="12"/>
      <color rgb="FF0C264C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rgb="FF1B365D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EFF4F9"/>
        <bgColor rgb="FFEFF4F9"/>
      </patternFill>
    </fill>
    <fill>
      <patternFill patternType="solid">
        <fgColor rgb="FF1B365D"/>
        <bgColor rgb="FF1B365D"/>
      </patternFill>
    </fill>
    <fill>
      <patternFill patternType="solid">
        <fgColor rgb="FFD8E2EF"/>
        <bgColor rgb="FFD8E2EF"/>
      </patternFill>
    </fill>
    <fill>
      <patternFill patternType="solid">
        <fgColor rgb="FFF4F7FC"/>
        <bgColor rgb="FFF4F7FC"/>
      </patternFill>
    </fill>
    <fill>
      <patternFill patternType="solid">
        <fgColor rgb="FFE8EFFC"/>
        <bgColor rgb="FFE8EFFC"/>
      </patternFill>
    </fill>
    <fill>
      <patternFill patternType="solid">
        <fgColor rgb="FFE8EAF4"/>
        <bgColor rgb="FFE8EAF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0EAF7"/>
      </patternFill>
    </fill>
    <fill>
      <patternFill patternType="solid">
        <fgColor theme="7" tint="0.79998168889431442"/>
        <bgColor rgb="FFD8E2EF"/>
      </patternFill>
    </fill>
    <fill>
      <patternFill patternType="solid">
        <fgColor theme="0"/>
        <bgColor rgb="FFF2F7FC"/>
      </patternFill>
    </fill>
    <fill>
      <patternFill patternType="solid">
        <fgColor theme="0"/>
        <bgColor indexed="64"/>
      </patternFill>
    </fill>
    <fill>
      <patternFill patternType="solid">
        <fgColor theme="5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CCCCCC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4" fontId="10" fillId="7" borderId="1" xfId="0" applyNumberFormat="1" applyFont="1" applyFill="1" applyBorder="1" applyAlignment="1">
      <alignment vertical="center"/>
    </xf>
    <xf numFmtId="4" fontId="10" fillId="7" borderId="2" xfId="0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/>
    </xf>
    <xf numFmtId="0" fontId="12" fillId="0" borderId="5" xfId="0" applyFont="1" applyBorder="1"/>
    <xf numFmtId="0" fontId="12" fillId="0" borderId="6" xfId="0" applyFont="1" applyBorder="1" applyAlignment="1">
      <alignment vertical="center"/>
    </xf>
    <xf numFmtId="0" fontId="12" fillId="0" borderId="7" xfId="0" applyFont="1" applyBorder="1"/>
    <xf numFmtId="0" fontId="12" fillId="0" borderId="8" xfId="0" applyFont="1" applyBorder="1" applyAlignment="1">
      <alignment vertical="center"/>
    </xf>
    <xf numFmtId="0" fontId="2" fillId="15" borderId="0" xfId="0" applyFont="1" applyFill="1"/>
    <xf numFmtId="0" fontId="2" fillId="16" borderId="0" xfId="0" applyFont="1" applyFill="1"/>
    <xf numFmtId="0" fontId="4" fillId="0" borderId="0" xfId="0" applyFont="1"/>
    <xf numFmtId="0" fontId="1" fillId="11" borderId="9" xfId="0" applyFont="1" applyFill="1" applyBorder="1" applyAlignment="1">
      <alignment horizontal="center" vertical="center" wrapText="1"/>
    </xf>
    <xf numFmtId="4" fontId="1" fillId="11" borderId="9" xfId="0" applyNumberFormat="1" applyFont="1" applyFill="1" applyBorder="1" applyAlignment="1">
      <alignment horizontal="center" vertical="center" wrapText="1"/>
    </xf>
    <xf numFmtId="1" fontId="1" fillId="11" borderId="9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4" fontId="2" fillId="8" borderId="9" xfId="0" applyNumberFormat="1" applyFont="1" applyFill="1" applyBorder="1" applyAlignment="1">
      <alignment horizontal="right" vertical="center"/>
    </xf>
    <xf numFmtId="4" fontId="2" fillId="14" borderId="9" xfId="0" applyNumberFormat="1" applyFont="1" applyFill="1" applyBorder="1" applyAlignment="1">
      <alignment horizontal="right" vertical="center"/>
    </xf>
    <xf numFmtId="4" fontId="2" fillId="15" borderId="9" xfId="0" applyNumberFormat="1" applyFont="1" applyFill="1" applyBorder="1" applyAlignment="1">
      <alignment horizontal="right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left" vertical="center"/>
    </xf>
    <xf numFmtId="4" fontId="1" fillId="11" borderId="9" xfId="0" applyNumberFormat="1" applyFont="1" applyFill="1" applyBorder="1" applyAlignment="1">
      <alignment horizontal="right" vertical="center"/>
    </xf>
    <xf numFmtId="0" fontId="11" fillId="11" borderId="9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left" vertical="center"/>
    </xf>
    <xf numFmtId="4" fontId="11" fillId="11" borderId="9" xfId="0" applyNumberFormat="1" applyFont="1" applyFill="1" applyBorder="1" applyAlignment="1">
      <alignment horizontal="right" vertical="center"/>
    </xf>
    <xf numFmtId="0" fontId="1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" fontId="6" fillId="0" borderId="9" xfId="0" applyNumberFormat="1" applyFont="1" applyBorder="1" applyAlignment="1">
      <alignment horizontal="right" vertical="center"/>
    </xf>
    <xf numFmtId="4" fontId="13" fillId="14" borderId="9" xfId="0" applyNumberFormat="1" applyFont="1" applyFill="1" applyBorder="1" applyAlignment="1">
      <alignment horizontal="right" vertical="center"/>
    </xf>
    <xf numFmtId="3" fontId="13" fillId="14" borderId="9" xfId="0" applyNumberFormat="1" applyFont="1" applyFill="1" applyBorder="1" applyAlignment="1">
      <alignment horizontal="right" vertical="center"/>
    </xf>
    <xf numFmtId="0" fontId="1" fillId="4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4" fillId="0" borderId="14" xfId="0" applyFont="1" applyBorder="1"/>
    <xf numFmtId="0" fontId="2" fillId="0" borderId="14" xfId="0" applyFont="1" applyBorder="1"/>
    <xf numFmtId="0" fontId="12" fillId="9" borderId="5" xfId="0" applyFont="1" applyFill="1" applyBorder="1"/>
    <xf numFmtId="0" fontId="12" fillId="9" borderId="6" xfId="0" applyFont="1" applyFill="1" applyBorder="1" applyAlignment="1">
      <alignment vertical="center"/>
    </xf>
    <xf numFmtId="0" fontId="4" fillId="13" borderId="0" xfId="0" applyFont="1" applyFill="1"/>
    <xf numFmtId="0" fontId="11" fillId="11" borderId="9" xfId="0" applyFont="1" applyFill="1" applyBorder="1" applyAlignment="1">
      <alignment horizontal="left" vertical="center"/>
    </xf>
    <xf numFmtId="0" fontId="4" fillId="11" borderId="9" xfId="0" applyFont="1" applyFill="1" applyBorder="1"/>
    <xf numFmtId="0" fontId="8" fillId="5" borderId="9" xfId="0" applyFont="1" applyFill="1" applyBorder="1" applyAlignment="1">
      <alignment horizontal="center" vertical="center"/>
    </xf>
    <xf numFmtId="0" fontId="4" fillId="0" borderId="9" xfId="0" applyFont="1" applyBorder="1"/>
    <xf numFmtId="4" fontId="9" fillId="6" borderId="12" xfId="0" applyNumberFormat="1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 wrapText="1"/>
    </xf>
    <xf numFmtId="0" fontId="4" fillId="9" borderId="9" xfId="0" applyFont="1" applyFill="1" applyBorder="1"/>
    <xf numFmtId="0" fontId="7" fillId="0" borderId="9" xfId="0" applyFont="1" applyBorder="1" applyAlignment="1">
      <alignment horizontal="left" vertical="center"/>
    </xf>
    <xf numFmtId="0" fontId="1" fillId="11" borderId="9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4" fillId="12" borderId="5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center" vertical="center" wrapText="1"/>
    </xf>
    <xf numFmtId="4" fontId="1" fillId="5" borderId="12" xfId="0" applyNumberFormat="1" applyFont="1" applyFill="1" applyBorder="1" applyAlignment="1">
      <alignment horizontal="center" vertical="center"/>
    </xf>
    <xf numFmtId="4" fontId="1" fillId="5" borderId="9" xfId="0" applyNumberFormat="1" applyFont="1" applyFill="1" applyBorder="1" applyAlignment="1">
      <alignment horizontal="center" vertical="center"/>
    </xf>
    <xf numFmtId="4" fontId="8" fillId="5" borderId="12" xfId="0" applyNumberFormat="1" applyFont="1" applyFill="1" applyBorder="1" applyAlignment="1">
      <alignment horizontal="center" vertical="center"/>
    </xf>
    <xf numFmtId="4" fontId="1" fillId="4" borderId="12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2">
    <tableStyle name="Sheet1-style" pivot="0" count="2" xr9:uid="{00000000-0011-0000-FFFF-FFFF00000000}">
      <tableStyleElement type="firstRowStripe" dxfId="13"/>
      <tableStyleElement type="secondRowStripe" dxfId="12"/>
    </tableStyle>
    <tableStyle name="Sheet1-style 2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0</xdr:rowOff>
    </xdr:from>
    <xdr:ext cx="3272790" cy="482727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0"/>
          <a:ext cx="3272790" cy="482727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12:J12" headerRowCount="0" headerRowDxfId="7" dataDxfId="6" totalsRowDxfId="5">
  <tableColumns count="5">
    <tableColumn id="1" xr3:uid="{00000000-0010-0000-0000-000001000000}" name="Column1" dataDxfId="4"/>
    <tableColumn id="2" xr3:uid="{00000000-0010-0000-0000-000002000000}" name="Column2" dataDxfId="3"/>
    <tableColumn id="3" xr3:uid="{00000000-0010-0000-0000-000003000000}" name="Column3" dataDxfId="2"/>
    <tableColumn id="4" xr3:uid="{00000000-0010-0000-0000-000004000000}" name="Column4" dataDxfId="1"/>
    <tableColumn id="5" xr3:uid="{00000000-0010-0000-0000-000005000000}" name="Column5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N1000"/>
  <sheetViews>
    <sheetView tabSelected="1" zoomScale="55" zoomScaleNormal="55" workbookViewId="0">
      <selection activeCell="H28" sqref="H28"/>
    </sheetView>
  </sheetViews>
  <sheetFormatPr defaultColWidth="12.6640625" defaultRowHeight="15" customHeight="1" x14ac:dyDescent="0.3"/>
  <cols>
    <col min="1" max="4" width="13.21875" style="1" customWidth="1"/>
    <col min="5" max="5" width="5.77734375" style="1" customWidth="1"/>
    <col min="6" max="6" width="43" style="1" customWidth="1"/>
    <col min="7" max="7" width="37.6640625" style="1" customWidth="1"/>
    <col min="8" max="8" width="12.44140625" style="1" customWidth="1"/>
    <col min="9" max="9" width="52.44140625" style="1" bestFit="1" customWidth="1"/>
    <col min="10" max="10" width="10" style="1" customWidth="1"/>
    <col min="11" max="11" width="13.88671875" style="1" customWidth="1"/>
    <col min="12" max="12" width="14.44140625" style="1" customWidth="1"/>
    <col min="13" max="13" width="15.77734375" style="1" customWidth="1"/>
    <col min="14" max="14" width="23.21875" style="1" customWidth="1"/>
    <col min="15" max="26" width="8.6640625" style="1" customWidth="1"/>
    <col min="27" max="16384" width="12.6640625" style="1"/>
  </cols>
  <sheetData>
    <row r="1" spans="5:14" ht="27" customHeight="1" x14ac:dyDescent="0.3">
      <c r="E1" s="65" t="s">
        <v>0</v>
      </c>
      <c r="F1" s="66"/>
      <c r="G1" s="66"/>
      <c r="H1" s="66"/>
      <c r="I1" s="66"/>
      <c r="J1" s="67"/>
      <c r="K1" s="66"/>
      <c r="L1" s="66"/>
      <c r="M1" s="66"/>
      <c r="N1" s="66"/>
    </row>
    <row r="2" spans="5:14" ht="28.5" customHeight="1" x14ac:dyDescent="0.3">
      <c r="E2" s="50" t="s">
        <v>1</v>
      </c>
      <c r="F2" s="50"/>
      <c r="G2" s="50"/>
      <c r="H2" s="50"/>
      <c r="I2" s="70"/>
      <c r="J2" s="36"/>
      <c r="K2" s="68" t="str">
        <f>"RINGKASAN ESTIMASI VOLUME BETON (L = " &amp; G4 &amp; " m)"</f>
        <v>RINGKASAN ESTIMASI VOLUME BETON (L = 10,XX m)</v>
      </c>
      <c r="L2" s="68"/>
      <c r="M2" s="68"/>
      <c r="N2" s="69"/>
    </row>
    <row r="3" spans="5:14" ht="14.25" customHeight="1" x14ac:dyDescent="0.3">
      <c r="E3" s="29" t="s">
        <v>2</v>
      </c>
      <c r="F3" s="29" t="s">
        <v>3</v>
      </c>
      <c r="G3" s="29" t="s">
        <v>4</v>
      </c>
      <c r="H3" s="29" t="s">
        <v>5</v>
      </c>
      <c r="I3" s="34" t="s">
        <v>6</v>
      </c>
      <c r="J3" s="37"/>
      <c r="K3" s="63" t="s">
        <v>7</v>
      </c>
      <c r="L3" s="44"/>
      <c r="M3" s="64" t="s">
        <v>8</v>
      </c>
      <c r="N3" s="44"/>
    </row>
    <row r="4" spans="5:14" ht="14.25" customHeight="1" x14ac:dyDescent="0.3">
      <c r="E4" s="19" t="s">
        <v>9</v>
      </c>
      <c r="F4" s="30" t="s">
        <v>10</v>
      </c>
      <c r="G4" s="31" t="s">
        <v>57</v>
      </c>
      <c r="H4" s="18" t="s">
        <v>11</v>
      </c>
      <c r="I4" s="35" t="s">
        <v>12</v>
      </c>
      <c r="J4" s="37"/>
      <c r="K4" s="60">
        <f>K13</f>
        <v>0</v>
      </c>
      <c r="L4" s="44"/>
      <c r="M4" s="61">
        <f>K14</f>
        <v>0</v>
      </c>
      <c r="N4" s="44"/>
    </row>
    <row r="5" spans="5:14" ht="14.25" customHeight="1" x14ac:dyDescent="0.3">
      <c r="E5" s="19" t="s">
        <v>13</v>
      </c>
      <c r="F5" s="30" t="s">
        <v>14</v>
      </c>
      <c r="G5" s="32"/>
      <c r="H5" s="18" t="s">
        <v>11</v>
      </c>
      <c r="I5" s="35" t="s">
        <v>15</v>
      </c>
      <c r="J5" s="37"/>
      <c r="K5" s="62" t="s">
        <v>16</v>
      </c>
      <c r="L5" s="44"/>
      <c r="M5" s="43" t="s">
        <v>17</v>
      </c>
      <c r="N5" s="44"/>
    </row>
    <row r="6" spans="5:14" ht="14.25" customHeight="1" x14ac:dyDescent="0.3">
      <c r="E6" s="19" t="s">
        <v>18</v>
      </c>
      <c r="F6" s="30" t="s">
        <v>19</v>
      </c>
      <c r="G6" s="32"/>
      <c r="H6" s="18" t="s">
        <v>11</v>
      </c>
      <c r="I6" s="35" t="s">
        <v>20</v>
      </c>
      <c r="J6" s="37"/>
      <c r="K6" s="63" t="s">
        <v>21</v>
      </c>
      <c r="L6" s="44"/>
      <c r="M6" s="64" t="s">
        <v>22</v>
      </c>
      <c r="N6" s="44"/>
    </row>
    <row r="7" spans="5:14" ht="14.25" customHeight="1" x14ac:dyDescent="0.3">
      <c r="E7" s="19" t="s">
        <v>23</v>
      </c>
      <c r="F7" s="30" t="s">
        <v>24</v>
      </c>
      <c r="G7" s="32"/>
      <c r="H7" s="18" t="s">
        <v>11</v>
      </c>
      <c r="I7" s="35" t="s">
        <v>25</v>
      </c>
      <c r="J7" s="37"/>
      <c r="K7" s="60">
        <f>K15</f>
        <v>0</v>
      </c>
      <c r="L7" s="44"/>
      <c r="M7" s="61">
        <f>K18</f>
        <v>0</v>
      </c>
      <c r="N7" s="44"/>
    </row>
    <row r="8" spans="5:14" ht="14.25" customHeight="1" x14ac:dyDescent="0.3">
      <c r="E8" s="19" t="s">
        <v>26</v>
      </c>
      <c r="F8" s="30" t="s">
        <v>27</v>
      </c>
      <c r="G8" s="32"/>
      <c r="H8" s="18" t="s">
        <v>11</v>
      </c>
      <c r="I8" s="35" t="s">
        <v>28</v>
      </c>
      <c r="J8" s="37"/>
      <c r="K8" s="62" t="s">
        <v>29</v>
      </c>
      <c r="L8" s="44"/>
      <c r="M8" s="43" t="s">
        <v>30</v>
      </c>
      <c r="N8" s="44"/>
    </row>
    <row r="9" spans="5:14" ht="14.25" customHeight="1" x14ac:dyDescent="0.3">
      <c r="E9" s="19" t="s">
        <v>31</v>
      </c>
      <c r="F9" s="30" t="s">
        <v>32</v>
      </c>
      <c r="G9" s="33"/>
      <c r="H9" s="18" t="s">
        <v>33</v>
      </c>
      <c r="I9" s="35" t="s">
        <v>34</v>
      </c>
      <c r="J9" s="37"/>
      <c r="K9" s="45" t="str">
        <f>"Total Beton Struktural: " &amp; K15 &amp; " m³   |   Total Cor Keseluruhan: " &amp; K18 &amp; " m³"</f>
        <v>Total Beton Struktural: 0 m³   |   Total Cor Keseluruhan: 0 m³</v>
      </c>
      <c r="L9" s="44"/>
      <c r="M9" s="44"/>
      <c r="N9" s="44"/>
    </row>
    <row r="10" spans="5:14" ht="14.25" customHeight="1" x14ac:dyDescent="0.3">
      <c r="K10" s="2"/>
      <c r="L10" s="3"/>
    </row>
    <row r="11" spans="5:14" ht="14.25" customHeight="1" x14ac:dyDescent="0.3">
      <c r="E11" s="50" t="s">
        <v>35</v>
      </c>
      <c r="F11" s="50"/>
      <c r="G11" s="50"/>
      <c r="H11" s="50"/>
      <c r="I11" s="50"/>
      <c r="J11" s="50"/>
      <c r="K11" s="50"/>
      <c r="L11" s="50"/>
      <c r="M11" s="50"/>
      <c r="N11" s="14"/>
    </row>
    <row r="12" spans="5:14" ht="46.8" x14ac:dyDescent="0.3">
      <c r="E12" s="15" t="s">
        <v>36</v>
      </c>
      <c r="F12" s="15" t="s">
        <v>37</v>
      </c>
      <c r="G12" s="16" t="s">
        <v>38</v>
      </c>
      <c r="H12" s="16" t="s">
        <v>39</v>
      </c>
      <c r="I12" s="17" t="s">
        <v>40</v>
      </c>
      <c r="J12" s="16" t="s">
        <v>41</v>
      </c>
      <c r="K12" s="16" t="s">
        <v>42</v>
      </c>
      <c r="L12" s="46" t="s">
        <v>43</v>
      </c>
      <c r="M12" s="47"/>
    </row>
    <row r="13" spans="5:14" ht="14.25" customHeight="1" x14ac:dyDescent="0.3">
      <c r="E13" s="18">
        <v>1</v>
      </c>
      <c r="F13" s="19" t="s">
        <v>44</v>
      </c>
      <c r="G13" s="20" t="str">
        <f t="shared" ref="G13:G14" si="0">$G$4</f>
        <v>10,XX</v>
      </c>
      <c r="H13" s="21"/>
      <c r="I13" s="21"/>
      <c r="J13" s="22"/>
      <c r="K13" s="22"/>
      <c r="L13" s="48" t="str">
        <f>"Tebal " &amp; H13 &amp; " m × Tinggi " &amp; I13 &amp; " m"</f>
        <v>Tebal  m × Tinggi  m</v>
      </c>
      <c r="M13" s="44"/>
      <c r="N13" s="12" t="s">
        <v>64</v>
      </c>
    </row>
    <row r="14" spans="5:14" ht="14.25" customHeight="1" x14ac:dyDescent="0.3">
      <c r="E14" s="18">
        <v>2</v>
      </c>
      <c r="F14" s="19" t="s">
        <v>45</v>
      </c>
      <c r="G14" s="20" t="str">
        <f t="shared" si="0"/>
        <v>10,XX</v>
      </c>
      <c r="H14" s="21"/>
      <c r="I14" s="21"/>
      <c r="J14" s="22"/>
      <c r="K14" s="22"/>
      <c r="L14" s="48" t="str">
        <f>"Lebar " &amp; H14 &amp; " m × Tebal " &amp; I14 &amp; " m"</f>
        <v>Lebar  m × Tebal  m</v>
      </c>
      <c r="M14" s="44"/>
      <c r="N14" s="13" t="s">
        <v>63</v>
      </c>
    </row>
    <row r="15" spans="5:14" ht="14.25" customHeight="1" x14ac:dyDescent="0.3">
      <c r="E15" s="23"/>
      <c r="F15" s="24" t="s">
        <v>46</v>
      </c>
      <c r="G15" s="25"/>
      <c r="H15" s="25"/>
      <c r="I15" s="25"/>
      <c r="J15" s="25">
        <f t="shared" ref="J15:K15" si="1">SUM(J13:J14)</f>
        <v>0</v>
      </c>
      <c r="K15" s="25">
        <f t="shared" si="1"/>
        <v>0</v>
      </c>
      <c r="L15" s="49" t="s">
        <v>47</v>
      </c>
      <c r="M15" s="42"/>
    </row>
    <row r="16" spans="5:14" ht="14.25" customHeight="1" x14ac:dyDescent="0.3">
      <c r="E16" s="18">
        <v>3</v>
      </c>
      <c r="F16" s="19" t="s">
        <v>48</v>
      </c>
      <c r="G16" s="20" t="str">
        <f t="shared" ref="G16:G17" si="2">$G$4</f>
        <v>10,XX</v>
      </c>
      <c r="H16" s="21"/>
      <c r="I16" s="21"/>
      <c r="J16" s="22"/>
      <c r="K16" s="22"/>
      <c r="L16" s="48" t="s">
        <v>49</v>
      </c>
      <c r="M16" s="44"/>
    </row>
    <row r="17" spans="5:14" ht="14.25" customHeight="1" x14ac:dyDescent="0.3">
      <c r="E17" s="18">
        <v>4</v>
      </c>
      <c r="F17" s="19" t="s">
        <v>50</v>
      </c>
      <c r="G17" s="20" t="str">
        <f t="shared" si="2"/>
        <v>10,XX</v>
      </c>
      <c r="H17" s="21"/>
      <c r="I17" s="21"/>
      <c r="J17" s="22"/>
      <c r="K17" s="22"/>
      <c r="L17" s="48" t="s">
        <v>51</v>
      </c>
      <c r="M17" s="44"/>
    </row>
    <row r="18" spans="5:14" ht="14.25" customHeight="1" x14ac:dyDescent="0.3">
      <c r="E18" s="26"/>
      <c r="F18" s="27" t="s">
        <v>52</v>
      </c>
      <c r="G18" s="28"/>
      <c r="H18" s="28"/>
      <c r="I18" s="28"/>
      <c r="J18" s="28">
        <f t="shared" ref="J18:K18" si="3">J15+J16+J17</f>
        <v>0</v>
      </c>
      <c r="K18" s="28">
        <f t="shared" si="3"/>
        <v>0</v>
      </c>
      <c r="L18" s="41" t="s">
        <v>53</v>
      </c>
      <c r="M18" s="42"/>
    </row>
    <row r="19" spans="5:14" ht="14.25" customHeight="1" thickBot="1" x14ac:dyDescent="0.35"/>
    <row r="20" spans="5:14" ht="14.25" customHeight="1" x14ac:dyDescent="0.3">
      <c r="E20" s="51" t="s">
        <v>54</v>
      </c>
      <c r="F20" s="52"/>
      <c r="G20" s="52"/>
      <c r="H20" s="52"/>
      <c r="I20" s="52"/>
      <c r="J20" s="52"/>
      <c r="K20" s="52"/>
      <c r="L20" s="52"/>
      <c r="M20" s="53"/>
      <c r="N20" s="40"/>
    </row>
    <row r="21" spans="5:14" ht="14.25" customHeight="1" x14ac:dyDescent="0.3">
      <c r="E21" s="54" t="s">
        <v>55</v>
      </c>
      <c r="F21" s="55"/>
      <c r="G21" s="55"/>
      <c r="H21" s="55"/>
      <c r="I21" s="55"/>
      <c r="J21" s="55"/>
      <c r="K21" s="55"/>
      <c r="L21" s="55"/>
      <c r="M21" s="56"/>
      <c r="N21" s="40"/>
    </row>
    <row r="22" spans="5:14" ht="14.25" customHeight="1" thickBot="1" x14ac:dyDescent="0.35">
      <c r="E22" s="57" t="s">
        <v>56</v>
      </c>
      <c r="F22" s="58"/>
      <c r="G22" s="58"/>
      <c r="H22" s="58"/>
      <c r="I22" s="58"/>
      <c r="J22" s="58"/>
      <c r="K22" s="58"/>
      <c r="L22" s="58"/>
      <c r="M22" s="59"/>
      <c r="N22" s="40"/>
    </row>
    <row r="23" spans="5:14" ht="14.25" customHeight="1" x14ac:dyDescent="0.3">
      <c r="E23" s="38" t="s">
        <v>58</v>
      </c>
      <c r="F23" s="39"/>
    </row>
    <row r="24" spans="5:14" ht="14.25" customHeight="1" x14ac:dyDescent="0.3">
      <c r="E24" s="8" t="s">
        <v>59</v>
      </c>
      <c r="F24" s="9" t="s">
        <v>60</v>
      </c>
      <c r="G24" s="5"/>
      <c r="H24" s="4"/>
      <c r="I24" s="5"/>
    </row>
    <row r="25" spans="5:14" ht="14.25" customHeight="1" thickBot="1" x14ac:dyDescent="0.35">
      <c r="E25" s="10" t="s">
        <v>61</v>
      </c>
      <c r="F25" s="11" t="s">
        <v>62</v>
      </c>
      <c r="G25" s="6"/>
      <c r="H25" s="7"/>
      <c r="I25" s="6"/>
    </row>
    <row r="26" spans="5:14" ht="14.25" customHeight="1" x14ac:dyDescent="0.3">
      <c r="G26" s="6"/>
      <c r="H26" s="7"/>
      <c r="I26" s="6"/>
    </row>
    <row r="27" spans="5:14" ht="14.25" customHeight="1" x14ac:dyDescent="0.3">
      <c r="G27" s="6"/>
      <c r="H27" s="7"/>
      <c r="I27" s="6"/>
    </row>
    <row r="28" spans="5:14" ht="14.25" customHeight="1" x14ac:dyDescent="0.3">
      <c r="G28" s="6"/>
      <c r="H28" s="7"/>
      <c r="I28" s="6"/>
    </row>
    <row r="29" spans="5:14" ht="14.25" customHeight="1" x14ac:dyDescent="0.3"/>
    <row r="30" spans="5:14" ht="14.25" customHeight="1" x14ac:dyDescent="0.3"/>
    <row r="31" spans="5:14" ht="14.25" customHeight="1" x14ac:dyDescent="0.3"/>
    <row r="32" spans="5:14" ht="14.25" customHeight="1" x14ac:dyDescent="0.3"/>
    <row r="33" s="1" customFormat="1" ht="19.5" customHeight="1" x14ac:dyDescent="0.3"/>
    <row r="34" s="1" customFormat="1" ht="19.5" customHeight="1" x14ac:dyDescent="0.3"/>
    <row r="35" s="1" customFormat="1" ht="19.5" customHeight="1" x14ac:dyDescent="0.3"/>
    <row r="36" s="1" customFormat="1" ht="14.25" customHeight="1" x14ac:dyDescent="0.3"/>
    <row r="37" s="1" customFormat="1" ht="14.25" customHeight="1" x14ac:dyDescent="0.3"/>
    <row r="38" s="1" customFormat="1" ht="14.25" customHeight="1" x14ac:dyDescent="0.3"/>
    <row r="39" s="1" customFormat="1" ht="14.25" customHeight="1" x14ac:dyDescent="0.3"/>
    <row r="40" s="1" customFormat="1" ht="14.25" customHeight="1" x14ac:dyDescent="0.3"/>
    <row r="41" s="1" customFormat="1" ht="14.25" customHeight="1" x14ac:dyDescent="0.3"/>
    <row r="42" s="1" customFormat="1" ht="14.25" customHeight="1" x14ac:dyDescent="0.3"/>
    <row r="43" s="1" customFormat="1" ht="14.25" customHeight="1" x14ac:dyDescent="0.3"/>
    <row r="44" s="1" customFormat="1" ht="14.25" customHeight="1" x14ac:dyDescent="0.3"/>
    <row r="45" s="1" customFormat="1" ht="14.25" customHeight="1" x14ac:dyDescent="0.3"/>
    <row r="46" s="1" customFormat="1" ht="14.25" customHeight="1" x14ac:dyDescent="0.3"/>
    <row r="47" s="1" customFormat="1" ht="14.25" customHeight="1" x14ac:dyDescent="0.3"/>
    <row r="48" s="1" customFormat="1" ht="14.25" customHeight="1" x14ac:dyDescent="0.3"/>
    <row r="49" s="1" customFormat="1" ht="14.25" customHeight="1" x14ac:dyDescent="0.3"/>
    <row r="50" s="1" customFormat="1" ht="14.25" customHeight="1" x14ac:dyDescent="0.3"/>
    <row r="51" s="1" customFormat="1" ht="14.25" customHeight="1" x14ac:dyDescent="0.3"/>
    <row r="52" s="1" customFormat="1" ht="14.25" customHeight="1" x14ac:dyDescent="0.3"/>
    <row r="53" s="1" customFormat="1" ht="14.25" customHeight="1" x14ac:dyDescent="0.3"/>
    <row r="54" s="1" customFormat="1" ht="14.25" customHeight="1" x14ac:dyDescent="0.3"/>
    <row r="55" s="1" customFormat="1" ht="14.25" customHeight="1" x14ac:dyDescent="0.3"/>
    <row r="56" s="1" customFormat="1" ht="14.25" customHeight="1" x14ac:dyDescent="0.3"/>
    <row r="57" s="1" customFormat="1" ht="14.25" customHeight="1" x14ac:dyDescent="0.3"/>
    <row r="58" s="1" customFormat="1" ht="14.25" customHeight="1" x14ac:dyDescent="0.3"/>
    <row r="59" s="1" customFormat="1" ht="14.25" customHeight="1" x14ac:dyDescent="0.3"/>
    <row r="60" s="1" customFormat="1" ht="14.25" customHeight="1" x14ac:dyDescent="0.3"/>
    <row r="61" s="1" customFormat="1" ht="14.25" customHeight="1" x14ac:dyDescent="0.3"/>
    <row r="62" s="1" customFormat="1" ht="14.25" customHeight="1" x14ac:dyDescent="0.3"/>
    <row r="63" s="1" customFormat="1" ht="14.25" customHeight="1" x14ac:dyDescent="0.3"/>
    <row r="64" s="1" customFormat="1" ht="14.25" customHeight="1" x14ac:dyDescent="0.3"/>
    <row r="65" s="1" customFormat="1" ht="14.25" customHeight="1" x14ac:dyDescent="0.3"/>
    <row r="66" s="1" customFormat="1" ht="14.25" customHeight="1" x14ac:dyDescent="0.3"/>
    <row r="67" s="1" customFormat="1" ht="14.25" customHeight="1" x14ac:dyDescent="0.3"/>
    <row r="68" s="1" customFormat="1" ht="14.25" customHeight="1" x14ac:dyDescent="0.3"/>
    <row r="69" s="1" customFormat="1" ht="14.25" customHeight="1" x14ac:dyDescent="0.3"/>
    <row r="70" s="1" customFormat="1" ht="14.25" customHeight="1" x14ac:dyDescent="0.3"/>
    <row r="71" s="1" customFormat="1" ht="14.25" customHeight="1" x14ac:dyDescent="0.3"/>
    <row r="72" s="1" customFormat="1" ht="14.25" customHeight="1" x14ac:dyDescent="0.3"/>
    <row r="73" s="1" customFormat="1" ht="14.25" customHeight="1" x14ac:dyDescent="0.3"/>
    <row r="74" s="1" customFormat="1" ht="14.25" customHeight="1" x14ac:dyDescent="0.3"/>
    <row r="75" s="1" customFormat="1" ht="14.25" customHeight="1" x14ac:dyDescent="0.3"/>
    <row r="76" s="1" customFormat="1" ht="14.25" customHeight="1" x14ac:dyDescent="0.3"/>
    <row r="77" s="1" customFormat="1" ht="14.25" customHeight="1" x14ac:dyDescent="0.3"/>
    <row r="78" s="1" customFormat="1" ht="14.25" customHeight="1" x14ac:dyDescent="0.3"/>
    <row r="79" s="1" customFormat="1" ht="14.25" customHeight="1" x14ac:dyDescent="0.3"/>
    <row r="80" s="1" customFormat="1" ht="14.25" customHeight="1" x14ac:dyDescent="0.3"/>
    <row r="81" s="1" customFormat="1" ht="14.25" customHeight="1" x14ac:dyDescent="0.3"/>
    <row r="82" s="1" customFormat="1" ht="14.25" customHeight="1" x14ac:dyDescent="0.3"/>
    <row r="83" s="1" customFormat="1" ht="14.25" customHeight="1" x14ac:dyDescent="0.3"/>
    <row r="84" s="1" customFormat="1" ht="14.25" customHeight="1" x14ac:dyDescent="0.3"/>
    <row r="85" s="1" customFormat="1" ht="14.25" customHeight="1" x14ac:dyDescent="0.3"/>
    <row r="86" s="1" customFormat="1" ht="14.25" customHeight="1" x14ac:dyDescent="0.3"/>
    <row r="87" s="1" customFormat="1" ht="14.25" customHeight="1" x14ac:dyDescent="0.3"/>
    <row r="88" s="1" customFormat="1" ht="14.25" customHeight="1" x14ac:dyDescent="0.3"/>
    <row r="89" s="1" customFormat="1" ht="14.25" customHeight="1" x14ac:dyDescent="0.3"/>
    <row r="90" s="1" customFormat="1" ht="14.25" customHeight="1" x14ac:dyDescent="0.3"/>
    <row r="91" s="1" customFormat="1" ht="14.25" customHeight="1" x14ac:dyDescent="0.3"/>
    <row r="92" s="1" customFormat="1" ht="14.25" customHeight="1" x14ac:dyDescent="0.3"/>
    <row r="93" s="1" customFormat="1" ht="14.25" customHeight="1" x14ac:dyDescent="0.3"/>
    <row r="94" s="1" customFormat="1" ht="14.25" customHeight="1" x14ac:dyDescent="0.3"/>
    <row r="95" s="1" customFormat="1" ht="14.25" customHeight="1" x14ac:dyDescent="0.3"/>
    <row r="96" s="1" customFormat="1" ht="14.25" customHeight="1" x14ac:dyDescent="0.3"/>
    <row r="97" s="1" customFormat="1" ht="14.25" customHeight="1" x14ac:dyDescent="0.3"/>
    <row r="98" s="1" customFormat="1" ht="14.25" customHeight="1" x14ac:dyDescent="0.3"/>
    <row r="99" s="1" customFormat="1" ht="14.25" customHeight="1" x14ac:dyDescent="0.3"/>
    <row r="100" s="1" customFormat="1" ht="14.25" customHeight="1" x14ac:dyDescent="0.3"/>
    <row r="101" s="1" customFormat="1" ht="14.25" customHeight="1" x14ac:dyDescent="0.3"/>
    <row r="102" s="1" customFormat="1" ht="14.25" customHeight="1" x14ac:dyDescent="0.3"/>
    <row r="103" s="1" customFormat="1" ht="14.25" customHeight="1" x14ac:dyDescent="0.3"/>
    <row r="104" s="1" customFormat="1" ht="14.25" customHeight="1" x14ac:dyDescent="0.3"/>
    <row r="105" s="1" customFormat="1" ht="14.25" customHeight="1" x14ac:dyDescent="0.3"/>
    <row r="106" s="1" customFormat="1" ht="14.25" customHeight="1" x14ac:dyDescent="0.3"/>
    <row r="107" s="1" customFormat="1" ht="14.25" customHeight="1" x14ac:dyDescent="0.3"/>
    <row r="108" s="1" customFormat="1" ht="14.25" customHeight="1" x14ac:dyDescent="0.3"/>
    <row r="109" s="1" customFormat="1" ht="14.25" customHeight="1" x14ac:dyDescent="0.3"/>
    <row r="110" s="1" customFormat="1" ht="14.25" customHeight="1" x14ac:dyDescent="0.3"/>
    <row r="111" s="1" customFormat="1" ht="14.25" customHeight="1" x14ac:dyDescent="0.3"/>
    <row r="112" s="1" customFormat="1" ht="14.25" customHeight="1" x14ac:dyDescent="0.3"/>
    <row r="113" s="1" customFormat="1" ht="14.25" customHeight="1" x14ac:dyDescent="0.3"/>
    <row r="114" s="1" customFormat="1" ht="14.25" customHeight="1" x14ac:dyDescent="0.3"/>
    <row r="115" s="1" customFormat="1" ht="14.25" customHeight="1" x14ac:dyDescent="0.3"/>
    <row r="116" s="1" customFormat="1" ht="14.25" customHeight="1" x14ac:dyDescent="0.3"/>
    <row r="117" s="1" customFormat="1" ht="14.25" customHeight="1" x14ac:dyDescent="0.3"/>
    <row r="118" s="1" customFormat="1" ht="14.25" customHeight="1" x14ac:dyDescent="0.3"/>
    <row r="119" s="1" customFormat="1" ht="14.25" customHeight="1" x14ac:dyDescent="0.3"/>
    <row r="120" s="1" customFormat="1" ht="14.25" customHeight="1" x14ac:dyDescent="0.3"/>
    <row r="121" s="1" customFormat="1" ht="14.25" customHeight="1" x14ac:dyDescent="0.3"/>
    <row r="122" s="1" customFormat="1" ht="14.25" customHeight="1" x14ac:dyDescent="0.3"/>
    <row r="123" s="1" customFormat="1" ht="14.25" customHeight="1" x14ac:dyDescent="0.3"/>
    <row r="124" s="1" customFormat="1" ht="14.25" customHeight="1" x14ac:dyDescent="0.3"/>
    <row r="125" s="1" customFormat="1" ht="14.25" customHeight="1" x14ac:dyDescent="0.3"/>
    <row r="126" s="1" customFormat="1" ht="14.25" customHeight="1" x14ac:dyDescent="0.3"/>
    <row r="127" s="1" customFormat="1" ht="14.25" customHeight="1" x14ac:dyDescent="0.3"/>
    <row r="128" s="1" customFormat="1" ht="14.25" customHeight="1" x14ac:dyDescent="0.3"/>
    <row r="129" s="1" customFormat="1" ht="14.25" customHeight="1" x14ac:dyDescent="0.3"/>
    <row r="130" s="1" customFormat="1" ht="14.25" customHeight="1" x14ac:dyDescent="0.3"/>
    <row r="131" s="1" customFormat="1" ht="14.25" customHeight="1" x14ac:dyDescent="0.3"/>
    <row r="132" s="1" customFormat="1" ht="14.25" customHeight="1" x14ac:dyDescent="0.3"/>
    <row r="133" s="1" customFormat="1" ht="14.25" customHeight="1" x14ac:dyDescent="0.3"/>
    <row r="134" s="1" customFormat="1" ht="14.25" customHeight="1" x14ac:dyDescent="0.3"/>
    <row r="135" s="1" customFormat="1" ht="14.25" customHeight="1" x14ac:dyDescent="0.3"/>
    <row r="136" s="1" customFormat="1" ht="14.25" customHeight="1" x14ac:dyDescent="0.3"/>
    <row r="137" s="1" customFormat="1" ht="14.25" customHeight="1" x14ac:dyDescent="0.3"/>
    <row r="138" s="1" customFormat="1" ht="14.25" customHeight="1" x14ac:dyDescent="0.3"/>
    <row r="139" s="1" customFormat="1" ht="14.25" customHeight="1" x14ac:dyDescent="0.3"/>
    <row r="140" s="1" customFormat="1" ht="14.25" customHeight="1" x14ac:dyDescent="0.3"/>
    <row r="141" s="1" customFormat="1" ht="14.25" customHeight="1" x14ac:dyDescent="0.3"/>
    <row r="142" s="1" customFormat="1" ht="14.25" customHeight="1" x14ac:dyDescent="0.3"/>
    <row r="143" s="1" customFormat="1" ht="14.25" customHeight="1" x14ac:dyDescent="0.3"/>
    <row r="144" s="1" customFormat="1" ht="14.25" customHeight="1" x14ac:dyDescent="0.3"/>
    <row r="145" s="1" customFormat="1" ht="14.25" customHeight="1" x14ac:dyDescent="0.3"/>
    <row r="146" s="1" customFormat="1" ht="14.25" customHeight="1" x14ac:dyDescent="0.3"/>
    <row r="147" s="1" customFormat="1" ht="14.25" customHeight="1" x14ac:dyDescent="0.3"/>
    <row r="148" s="1" customFormat="1" ht="14.25" customHeight="1" x14ac:dyDescent="0.3"/>
    <row r="149" s="1" customFormat="1" ht="14.25" customHeight="1" x14ac:dyDescent="0.3"/>
    <row r="150" s="1" customFormat="1" ht="14.25" customHeight="1" x14ac:dyDescent="0.3"/>
    <row r="151" s="1" customFormat="1" ht="14.25" customHeight="1" x14ac:dyDescent="0.3"/>
    <row r="152" s="1" customFormat="1" ht="14.25" customHeight="1" x14ac:dyDescent="0.3"/>
    <row r="153" s="1" customFormat="1" ht="14.25" customHeight="1" x14ac:dyDescent="0.3"/>
    <row r="154" s="1" customFormat="1" ht="14.25" customHeight="1" x14ac:dyDescent="0.3"/>
    <row r="155" s="1" customFormat="1" ht="14.25" customHeight="1" x14ac:dyDescent="0.3"/>
    <row r="156" s="1" customFormat="1" ht="14.25" customHeight="1" x14ac:dyDescent="0.3"/>
    <row r="157" s="1" customFormat="1" ht="14.25" customHeight="1" x14ac:dyDescent="0.3"/>
    <row r="158" s="1" customFormat="1" ht="14.25" customHeight="1" x14ac:dyDescent="0.3"/>
    <row r="159" s="1" customFormat="1" ht="14.25" customHeight="1" x14ac:dyDescent="0.3"/>
    <row r="160" s="1" customFormat="1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  <row r="1000" s="1" customFormat="1" ht="14.25" customHeight="1" x14ac:dyDescent="0.3"/>
  </sheetData>
  <mergeCells count="27">
    <mergeCell ref="E1:N1"/>
    <mergeCell ref="K2:N2"/>
    <mergeCell ref="K3:L3"/>
    <mergeCell ref="M3:N3"/>
    <mergeCell ref="E2:I2"/>
    <mergeCell ref="K4:L4"/>
    <mergeCell ref="M4:N4"/>
    <mergeCell ref="K5:L5"/>
    <mergeCell ref="M5:N5"/>
    <mergeCell ref="K6:L6"/>
    <mergeCell ref="M6:N6"/>
    <mergeCell ref="E20:M20"/>
    <mergeCell ref="E21:M21"/>
    <mergeCell ref="E22:M22"/>
    <mergeCell ref="K7:L7"/>
    <mergeCell ref="M7:N7"/>
    <mergeCell ref="K8:L8"/>
    <mergeCell ref="L16:M16"/>
    <mergeCell ref="L17:M17"/>
    <mergeCell ref="L18:M18"/>
    <mergeCell ref="M8:N8"/>
    <mergeCell ref="K9:N9"/>
    <mergeCell ref="L12:M12"/>
    <mergeCell ref="L13:M13"/>
    <mergeCell ref="L14:M14"/>
    <mergeCell ref="L15:M15"/>
    <mergeCell ref="E11:M11"/>
  </mergeCells>
  <dataValidations count="1">
    <dataValidation type="custom" allowBlank="1" showDropDown="1" sqref="H25:H28 F23:F25" xr:uid="{00000000-0002-0000-0000-000000000000}">
      <formula1>AND(ISNUMBER(F23),(NOT(OR(NOT(ISERROR(DATEVALUE(F23))), AND(ISNUMBER(F23), LEFT(CELL("format", F23))="D")))))</formula1>
    </dataValidation>
  </dataValidation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Baihaqi Aryaseta Suherman</cp:lastModifiedBy>
  <dcterms:created xsi:type="dcterms:W3CDTF">2026-09-19T13:19:54Z</dcterms:created>
  <dcterms:modified xsi:type="dcterms:W3CDTF">2026-09-20T12:14:34Z</dcterms:modified>
</cp:coreProperties>
</file>