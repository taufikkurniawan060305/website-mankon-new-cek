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CIVIL ENGINEERING\TUGAS\SEMS 7\ASISTEN MANKON\"/>
    </mc:Choice>
  </mc:AlternateContent>
  <xr:revisionPtr revIDLastSave="0" documentId="8_{39F47C0D-BC8C-4937-BA6F-5E1AAFA0A273}" xr6:coauthVersionLast="47" xr6:coauthVersionMax="47" xr10:uidLastSave="{00000000-0000-0000-0000-000000000000}"/>
  <bookViews>
    <workbookView xWindow="-108" yWindow="-108" windowWidth="23256" windowHeight="12456" firstSheet="1" activeTab="1" xr2:uid="{7D9D51F8-84DA-4FC9-BCF9-107C7BE91118}"/>
  </bookViews>
  <sheets>
    <sheet name="INPUT RESOURCE GEDUNG MS PRO" sheetId="3" r:id="rId1"/>
    <sheet name="INPUT WORKS GEDUNG MS PRO" sheetId="2" r:id="rId2"/>
    <sheet name="INPUT WORKS EMBUNG MS PRO" sheetId="5" r:id="rId3"/>
    <sheet name="INPUT RESOURCE EMBUNG MS PRO" sheetId="4" r:id="rId4"/>
    <sheet name="INPUT WORKS JALAN MS PRO " sheetId="8" r:id="rId5"/>
    <sheet name="INPUT RESOURCE SHEET MS PRO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7" i="8" l="1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</calcChain>
</file>

<file path=xl/sharedStrings.xml><?xml version="1.0" encoding="utf-8"?>
<sst xmlns="http://schemas.openxmlformats.org/spreadsheetml/2006/main" count="1934" uniqueCount="751">
  <si>
    <r>
      <rPr>
        <sz val="6"/>
        <color theme="1"/>
        <rFont val="Times New Roman"/>
        <family val="1"/>
      </rPr>
      <t>Mandor</t>
    </r>
  </si>
  <si>
    <r>
      <rPr>
        <sz val="6"/>
        <color theme="1"/>
        <rFont val="Times New Roman"/>
        <family val="1"/>
      </rPr>
      <t>Kepala Tukang</t>
    </r>
  </si>
  <si>
    <r>
      <rPr>
        <sz val="6"/>
        <color theme="1"/>
        <rFont val="Times New Roman"/>
        <family val="1"/>
      </rPr>
      <t>Tukang Kayu</t>
    </r>
  </si>
  <si>
    <r>
      <rPr>
        <sz val="6"/>
        <color theme="1"/>
        <rFont val="Times New Roman"/>
        <family val="1"/>
      </rPr>
      <t>84FF</t>
    </r>
  </si>
  <si>
    <r>
      <rPr>
        <sz val="6"/>
        <color theme="1"/>
        <rFont val="Times New Roman"/>
        <family val="1"/>
      </rPr>
      <t>Plafon Akustik 30 x 60 cm</t>
    </r>
  </si>
  <si>
    <r>
      <rPr>
        <sz val="6"/>
        <color theme="1"/>
        <rFont val="Times New Roman"/>
        <family val="1"/>
      </rPr>
      <t>Pekerja</t>
    </r>
  </si>
  <si>
    <r>
      <rPr>
        <sz val="6"/>
        <color theme="1"/>
        <rFont val="Times New Roman"/>
        <family val="1"/>
      </rPr>
      <t>m2</t>
    </r>
  </si>
  <si>
    <r>
      <rPr>
        <sz val="6"/>
        <color theme="1"/>
        <rFont val="Times New Roman"/>
        <family val="1"/>
      </rPr>
      <t>Pekerjaan Plafond</t>
    </r>
  </si>
  <si>
    <r>
      <rPr>
        <sz val="6"/>
        <color theme="1"/>
        <rFont val="Times New Roman"/>
        <family val="1"/>
      </rPr>
      <t>Pasir Pasang</t>
    </r>
  </si>
  <si>
    <r>
      <rPr>
        <sz val="6"/>
        <color theme="1"/>
        <rFont val="Times New Roman"/>
        <family val="1"/>
      </rPr>
      <t>83FS</t>
    </r>
  </si>
  <si>
    <r>
      <rPr>
        <sz val="6"/>
        <color theme="1"/>
        <rFont val="Times New Roman"/>
        <family val="1"/>
      </rPr>
      <t>Semen Portland</t>
    </r>
  </si>
  <si>
    <r>
      <rPr>
        <sz val="6"/>
        <color theme="1"/>
        <rFont val="Times New Roman"/>
        <family val="1"/>
      </rPr>
      <t>Pekerjaan plester acian dinding</t>
    </r>
  </si>
  <si>
    <r>
      <rPr>
        <sz val="6"/>
        <color theme="1"/>
        <rFont val="Times New Roman"/>
        <family val="1"/>
      </rPr>
      <t>Mortar Perekat Bata Ringan</t>
    </r>
  </si>
  <si>
    <t>Tukang Batu</t>
  </si>
  <si>
    <r>
      <rPr>
        <sz val="6"/>
        <color theme="1"/>
        <rFont val="Times New Roman"/>
        <family val="1"/>
      </rPr>
      <t>77FS</t>
    </r>
  </si>
  <si>
    <r>
      <rPr>
        <sz val="6"/>
        <color theme="1"/>
        <rFont val="Times New Roman"/>
        <family val="1"/>
      </rPr>
      <t>Bata Ringan Tebal 10 cm</t>
    </r>
  </si>
  <si>
    <r>
      <rPr>
        <sz val="6"/>
        <color theme="1"/>
        <rFont val="Times New Roman"/>
        <family val="1"/>
      </rPr>
      <t>Pekerjaan Dinding  bata ringan tebal 10 cm</t>
    </r>
  </si>
  <si>
    <r>
      <rPr>
        <sz val="6"/>
        <color theme="1"/>
        <rFont val="Times New Roman"/>
        <family val="1"/>
      </rPr>
      <t>Minyak Bekisting</t>
    </r>
  </si>
  <si>
    <r>
      <rPr>
        <sz val="6"/>
        <color theme="1"/>
        <rFont val="Times New Roman"/>
        <family val="1"/>
      </rPr>
      <t>Paku 2 inch</t>
    </r>
  </si>
  <si>
    <r>
      <rPr>
        <sz val="6"/>
        <color theme="1"/>
        <rFont val="Times New Roman"/>
        <family val="1"/>
      </rPr>
      <t>84FS</t>
    </r>
  </si>
  <si>
    <r>
      <rPr>
        <sz val="6"/>
        <color rgb="FF000000"/>
        <rFont val="Times New Roman"/>
        <family val="1"/>
      </rPr>
      <t xml:space="preserve">Homogeneous Tile Unpolish
</t>
    </r>
    <r>
      <rPr>
        <sz val="6"/>
        <color rgb="FF000000"/>
        <rFont val="Times New Roman"/>
        <family val="1"/>
      </rPr>
      <t>uk. 30 x 30 cm</t>
    </r>
  </si>
  <si>
    <r>
      <rPr>
        <sz val="6"/>
        <color theme="1"/>
        <rFont val="Times New Roman"/>
        <family val="1"/>
      </rPr>
      <t>Pekerjaan lantai Homogeneus</t>
    </r>
  </si>
  <si>
    <r>
      <rPr>
        <b/>
        <sz val="6"/>
        <color theme="1"/>
        <rFont val="Times New Roman"/>
        <family val="1"/>
      </rPr>
      <t>Lantai 2</t>
    </r>
  </si>
  <si>
    <r>
      <rPr>
        <sz val="6"/>
        <color theme="1"/>
        <rFont val="Times New Roman"/>
        <family val="1"/>
      </rPr>
      <t>79FS</t>
    </r>
  </si>
  <si>
    <r>
      <rPr>
        <sz val="6"/>
        <color theme="1"/>
        <rFont val="Times New Roman"/>
        <family val="1"/>
      </rPr>
      <t>78FS</t>
    </r>
  </si>
  <si>
    <r>
      <rPr>
        <sz val="6"/>
        <color theme="1"/>
        <rFont val="Times New Roman"/>
        <family val="1"/>
      </rPr>
      <t>72SS-1</t>
    </r>
  </si>
  <si>
    <r>
      <rPr>
        <sz val="6"/>
        <color theme="1"/>
        <rFont val="Times New Roman"/>
        <family val="1"/>
      </rPr>
      <t>80FS</t>
    </r>
  </si>
  <si>
    <r>
      <rPr>
        <b/>
        <sz val="6"/>
        <color theme="1"/>
        <rFont val="Times New Roman"/>
        <family val="1"/>
      </rPr>
      <t>Lantai 1</t>
    </r>
  </si>
  <si>
    <r>
      <rPr>
        <b/>
        <sz val="6"/>
        <color theme="1"/>
        <rFont val="Times New Roman"/>
        <family val="1"/>
      </rPr>
      <t>PEKERJAAN ARSITEKTUR</t>
    </r>
  </si>
  <si>
    <r>
      <rPr>
        <sz val="6"/>
        <color theme="1"/>
        <rFont val="Times New Roman"/>
        <family val="1"/>
      </rPr>
      <t>73FS</t>
    </r>
  </si>
  <si>
    <r>
      <rPr>
        <sz val="6"/>
        <color theme="1"/>
        <rFont val="Times New Roman"/>
        <family val="1"/>
      </rPr>
      <t>Pembongkaran Bekisting</t>
    </r>
  </si>
  <si>
    <r>
      <rPr>
        <sz val="6"/>
        <color theme="1"/>
        <rFont val="Times New Roman"/>
        <family val="1"/>
      </rPr>
      <t>Fly Ash</t>
    </r>
  </si>
  <si>
    <r>
      <rPr>
        <sz val="6"/>
        <color theme="1"/>
        <rFont val="Times New Roman"/>
        <family val="1"/>
      </rPr>
      <t>Air</t>
    </r>
  </si>
  <si>
    <r>
      <rPr>
        <sz val="6"/>
        <color theme="1"/>
        <rFont val="Times New Roman"/>
        <family val="1"/>
      </rPr>
      <t>Kerikil</t>
    </r>
  </si>
  <si>
    <r>
      <rPr>
        <sz val="6"/>
        <color theme="1"/>
        <rFont val="Times New Roman"/>
        <family val="1"/>
      </rPr>
      <t>Pasir beton</t>
    </r>
  </si>
  <si>
    <r>
      <rPr>
        <sz val="6"/>
        <color theme="1"/>
        <rFont val="Times New Roman"/>
        <family val="1"/>
      </rPr>
      <t>Tukang batu/tembok</t>
    </r>
  </si>
  <si>
    <r>
      <rPr>
        <sz val="6"/>
        <color theme="1"/>
        <rFont val="Times New Roman"/>
        <family val="1"/>
      </rPr>
      <t>72FS</t>
    </r>
  </si>
  <si>
    <r>
      <rPr>
        <sz val="6"/>
        <color theme="1"/>
        <rFont val="Times New Roman"/>
        <family val="1"/>
      </rPr>
      <t xml:space="preserve">Molen/Beton mixer 0,35 m3 dilengkapi </t>
    </r>
    <r>
      <rPr>
        <i/>
        <sz val="6"/>
        <color theme="1"/>
        <rFont val="Arial"/>
        <family val="2"/>
      </rPr>
      <t>Automatic Feeder</t>
    </r>
  </si>
  <si>
    <r>
      <rPr>
        <sz val="6"/>
        <color theme="1"/>
        <rFont val="Times New Roman"/>
        <family val="1"/>
      </rPr>
      <t>m3</t>
    </r>
  </si>
  <si>
    <r>
      <rPr>
        <sz val="6"/>
        <color theme="1"/>
        <rFont val="Times New Roman"/>
        <family val="1"/>
      </rPr>
      <t>Pengecoran beton fc 35'</t>
    </r>
  </si>
  <si>
    <r>
      <rPr>
        <sz val="6"/>
        <color theme="1"/>
        <rFont val="Times New Roman"/>
        <family val="1"/>
      </rPr>
      <t>Bender baja beton</t>
    </r>
  </si>
  <si>
    <r>
      <rPr>
        <sz val="6"/>
        <color theme="1"/>
        <rFont val="Times New Roman"/>
        <family val="1"/>
      </rPr>
      <t>Kawat tali beton</t>
    </r>
  </si>
  <si>
    <r>
      <rPr>
        <sz val="6"/>
        <color theme="1"/>
        <rFont val="Times New Roman"/>
        <family val="1"/>
      </rPr>
      <t>Tukang besi/besi beton</t>
    </r>
  </si>
  <si>
    <r>
      <rPr>
        <sz val="6"/>
        <color theme="1"/>
        <rFont val="Times New Roman"/>
        <family val="1"/>
      </rPr>
      <t>71SS</t>
    </r>
  </si>
  <si>
    <r>
      <rPr>
        <sz val="6"/>
        <color theme="1"/>
        <rFont val="Times New Roman"/>
        <family val="1"/>
      </rPr>
      <t>Cutter baja beton</t>
    </r>
  </si>
  <si>
    <r>
      <rPr>
        <sz val="6"/>
        <color theme="1"/>
        <rFont val="Times New Roman"/>
        <family val="1"/>
      </rPr>
      <t>Baja tulangan polos (BjTP)</t>
    </r>
  </si>
  <si>
    <r>
      <rPr>
        <sz val="6"/>
        <color theme="1"/>
        <rFont val="Times New Roman"/>
        <family val="1"/>
      </rPr>
      <t>kg</t>
    </r>
  </si>
  <si>
    <r>
      <rPr>
        <sz val="6"/>
        <color theme="1"/>
        <rFont val="Times New Roman"/>
        <family val="1"/>
      </rPr>
      <t>Penulangan</t>
    </r>
  </si>
  <si>
    <r>
      <rPr>
        <sz val="6"/>
        <color rgb="FF000000"/>
        <rFont val="Times New Roman"/>
        <family val="1"/>
      </rPr>
      <t xml:space="preserve">Dolken kayu dia. 8 - 10 cm
</t>
    </r>
    <r>
      <rPr>
        <sz val="6"/>
        <color rgb="FF000000"/>
        <rFont val="Times New Roman"/>
        <family val="1"/>
      </rPr>
      <t>panjang 4 m</t>
    </r>
  </si>
  <si>
    <r>
      <rPr>
        <sz val="6"/>
        <color theme="1"/>
        <rFont val="Times New Roman"/>
        <family val="1"/>
      </rPr>
      <t>Plywood tebal 12 mm</t>
    </r>
  </si>
  <si>
    <r>
      <rPr>
        <sz val="6"/>
        <color theme="1"/>
        <rFont val="Times New Roman"/>
        <family val="1"/>
      </rPr>
      <t>Balok kayu 6/12 kelas II</t>
    </r>
  </si>
  <si>
    <r>
      <rPr>
        <sz val="6"/>
        <color theme="1"/>
        <rFont val="Times New Roman"/>
        <family val="1"/>
      </rPr>
      <t>Minyak bekisting</t>
    </r>
  </si>
  <si>
    <r>
      <rPr>
        <sz val="6"/>
        <color theme="1"/>
        <rFont val="Times New Roman"/>
        <family val="1"/>
      </rPr>
      <t>Tukang kayu</t>
    </r>
  </si>
  <si>
    <r>
      <rPr>
        <sz val="6"/>
        <color theme="1"/>
        <rFont val="Times New Roman"/>
        <family val="1"/>
      </rPr>
      <t>66SS</t>
    </r>
  </si>
  <si>
    <r>
      <rPr>
        <sz val="6"/>
        <color theme="1"/>
        <rFont val="Times New Roman"/>
        <family val="1"/>
      </rPr>
      <t>Paku 5 - 10 cm</t>
    </r>
  </si>
  <si>
    <r>
      <rPr>
        <sz val="6"/>
        <color theme="1"/>
        <rFont val="Times New Roman"/>
        <family val="1"/>
      </rPr>
      <t>Pemasangan Bekisting</t>
    </r>
  </si>
  <si>
    <r>
      <rPr>
        <b/>
        <sz val="6"/>
        <color theme="1"/>
        <rFont val="Times New Roman"/>
        <family val="1"/>
      </rPr>
      <t>Tangga Tipe 2</t>
    </r>
  </si>
  <si>
    <r>
      <rPr>
        <sz val="6"/>
        <color theme="1"/>
        <rFont val="Times New Roman"/>
        <family val="1"/>
      </rPr>
      <t>68FS</t>
    </r>
  </si>
  <si>
    <r>
      <rPr>
        <sz val="6"/>
        <color theme="1"/>
        <rFont val="Times New Roman"/>
        <family val="1"/>
      </rPr>
      <t>67FS</t>
    </r>
  </si>
  <si>
    <r>
      <rPr>
        <sz val="6"/>
        <color theme="1"/>
        <rFont val="Times New Roman"/>
        <family val="1"/>
      </rPr>
      <t>45FS+2</t>
    </r>
  </si>
  <si>
    <r>
      <rPr>
        <b/>
        <sz val="6"/>
        <color theme="1"/>
        <rFont val="Times New Roman"/>
        <family val="1"/>
      </rPr>
      <t>Tangga Tipe 1</t>
    </r>
  </si>
  <si>
    <r>
      <rPr>
        <b/>
        <sz val="6"/>
        <color theme="1"/>
        <rFont val="Times New Roman"/>
        <family val="1"/>
      </rPr>
      <t>PEKERJAAN TANGGA</t>
    </r>
  </si>
  <si>
    <r>
      <rPr>
        <sz val="6"/>
        <color theme="1"/>
        <rFont val="Times New Roman"/>
        <family val="1"/>
      </rPr>
      <t>62FS</t>
    </r>
  </si>
  <si>
    <r>
      <rPr>
        <sz val="6"/>
        <color theme="1"/>
        <rFont val="Times New Roman"/>
        <family val="1"/>
      </rPr>
      <t>61FS</t>
    </r>
  </si>
  <si>
    <r>
      <rPr>
        <sz val="6"/>
        <color theme="1"/>
        <rFont val="Times New Roman"/>
        <family val="1"/>
      </rPr>
      <t>60FS</t>
    </r>
  </si>
  <si>
    <r>
      <rPr>
        <sz val="6"/>
        <color theme="1"/>
        <rFont val="Times New Roman"/>
        <family val="1"/>
      </rPr>
      <t>Plywood  tebal 12 mm</t>
    </r>
  </si>
  <si>
    <r>
      <rPr>
        <sz val="6"/>
        <color theme="1"/>
        <rFont val="Times New Roman"/>
        <family val="1"/>
      </rPr>
      <t>Balok kayu kelas II</t>
    </r>
  </si>
  <si>
    <r>
      <rPr>
        <sz val="6"/>
        <color theme="1"/>
        <rFont val="Times New Roman"/>
        <family val="1"/>
      </rPr>
      <t>57SS</t>
    </r>
  </si>
  <si>
    <r>
      <rPr>
        <b/>
        <sz val="6"/>
        <color theme="1"/>
        <rFont val="Times New Roman"/>
        <family val="1"/>
      </rPr>
      <t>Dak Beton</t>
    </r>
  </si>
  <si>
    <r>
      <rPr>
        <b/>
        <sz val="6"/>
        <color theme="1"/>
        <rFont val="Times New Roman"/>
        <family val="1"/>
      </rPr>
      <t>Lantai RoofTop</t>
    </r>
  </si>
  <si>
    <r>
      <rPr>
        <sz val="6"/>
        <color theme="1"/>
        <rFont val="Times New Roman"/>
        <family val="1"/>
      </rPr>
      <t>56FS</t>
    </r>
  </si>
  <si>
    <r>
      <rPr>
        <sz val="6"/>
        <color theme="1"/>
        <rFont val="Times New Roman"/>
        <family val="1"/>
      </rPr>
      <t>54FS</t>
    </r>
  </si>
  <si>
    <r>
      <rPr>
        <sz val="6"/>
        <color theme="1"/>
        <rFont val="Times New Roman"/>
        <family val="1"/>
      </rPr>
      <t>47SS</t>
    </r>
  </si>
  <si>
    <r>
      <rPr>
        <sz val="6"/>
        <color theme="1"/>
        <rFont val="Times New Roman"/>
        <family val="1"/>
      </rPr>
      <t>55FS</t>
    </r>
  </si>
  <si>
    <r>
      <rPr>
        <b/>
        <sz val="6"/>
        <color theme="1"/>
        <rFont val="Times New Roman"/>
        <family val="1"/>
      </rPr>
      <t>Kolom</t>
    </r>
  </si>
  <si>
    <r>
      <rPr>
        <sz val="6"/>
        <color theme="1"/>
        <rFont val="Times New Roman"/>
        <family val="1"/>
      </rPr>
      <t>51FS+1</t>
    </r>
  </si>
  <si>
    <r>
      <rPr>
        <sz val="6"/>
        <color theme="1"/>
        <rFont val="Times New Roman"/>
        <family val="1"/>
      </rPr>
      <t>50FS+4</t>
    </r>
  </si>
  <si>
    <r>
      <rPr>
        <sz val="6"/>
        <color theme="1"/>
        <rFont val="Times New Roman"/>
        <family val="1"/>
      </rPr>
      <t>49FS</t>
    </r>
  </si>
  <si>
    <r>
      <rPr>
        <sz val="6"/>
        <color theme="1"/>
        <rFont val="Times New Roman"/>
        <family val="1"/>
      </rPr>
      <t>Balok kayu kelas III</t>
    </r>
  </si>
  <si>
    <r>
      <rPr>
        <sz val="6"/>
        <color theme="1"/>
        <rFont val="Times New Roman"/>
        <family val="1"/>
      </rPr>
      <t>Paku 5 - 12 cm</t>
    </r>
  </si>
  <si>
    <r>
      <rPr>
        <b/>
        <sz val="6"/>
        <color theme="1"/>
        <rFont val="Times New Roman"/>
        <family val="1"/>
      </rPr>
      <t>Balok</t>
    </r>
  </si>
  <si>
    <r>
      <rPr>
        <sz val="6"/>
        <color theme="1"/>
        <rFont val="Times New Roman"/>
        <family val="1"/>
      </rPr>
      <t>46FF</t>
    </r>
  </si>
  <si>
    <r>
      <rPr>
        <sz val="6"/>
        <color theme="1"/>
        <rFont val="Times New Roman"/>
        <family val="1"/>
      </rPr>
      <t>45FS</t>
    </r>
  </si>
  <si>
    <r>
      <rPr>
        <sz val="6"/>
        <color theme="1"/>
        <rFont val="Times New Roman"/>
        <family val="1"/>
      </rPr>
      <t>40FS</t>
    </r>
  </si>
  <si>
    <r>
      <rPr>
        <sz val="6"/>
        <color theme="1"/>
        <rFont val="Times New Roman"/>
        <family val="1"/>
      </rPr>
      <t>41FF</t>
    </r>
  </si>
  <si>
    <t>Paku 5 - 12 cm</t>
  </si>
  <si>
    <r>
      <rPr>
        <b/>
        <sz val="6"/>
        <color theme="1"/>
        <rFont val="Times New Roman"/>
        <family val="1"/>
      </rPr>
      <t>Plat Lantai</t>
    </r>
  </si>
  <si>
    <r>
      <rPr>
        <sz val="6"/>
        <color theme="1"/>
        <rFont val="Times New Roman"/>
        <family val="1"/>
      </rPr>
      <t>40SS</t>
    </r>
  </si>
  <si>
    <r>
      <rPr>
        <sz val="6"/>
        <color theme="1"/>
        <rFont val="Times New Roman"/>
        <family val="1"/>
      </rPr>
      <t>39FS</t>
    </r>
  </si>
  <si>
    <r>
      <rPr>
        <sz val="6"/>
        <color theme="1"/>
        <rFont val="Times New Roman"/>
        <family val="1"/>
      </rPr>
      <t>38SF</t>
    </r>
  </si>
  <si>
    <r>
      <rPr>
        <sz val="6"/>
        <color theme="1"/>
        <rFont val="Times New Roman"/>
        <family val="1"/>
      </rPr>
      <t>33FF</t>
    </r>
  </si>
  <si>
    <t>Paku 5 dan 12 cm</t>
  </si>
  <si>
    <t>35FF</t>
  </si>
  <si>
    <r>
      <rPr>
        <sz val="6"/>
        <color theme="1"/>
        <rFont val="Times New Roman"/>
        <family val="1"/>
      </rPr>
      <t>34FS+1</t>
    </r>
  </si>
  <si>
    <r>
      <rPr>
        <sz val="6"/>
        <color theme="1"/>
        <rFont val="Times New Roman"/>
        <family val="1"/>
      </rPr>
      <t>33FS</t>
    </r>
  </si>
  <si>
    <r>
      <rPr>
        <sz val="6"/>
        <color theme="1"/>
        <rFont val="Times New Roman"/>
        <family val="1"/>
      </rPr>
      <t>31FS+3</t>
    </r>
  </si>
  <si>
    <r>
      <rPr>
        <sz val="6"/>
        <color theme="1"/>
        <rFont val="Times New Roman"/>
        <family val="1"/>
      </rPr>
      <t>30FF</t>
    </r>
  </si>
  <si>
    <r>
      <rPr>
        <sz val="6"/>
        <color theme="1"/>
        <rFont val="Times New Roman"/>
        <family val="1"/>
      </rPr>
      <t>29FS</t>
    </r>
  </si>
  <si>
    <r>
      <rPr>
        <sz val="6"/>
        <color theme="1"/>
        <rFont val="Times New Roman"/>
        <family val="1"/>
      </rPr>
      <t>28SS+3</t>
    </r>
  </si>
  <si>
    <r>
      <rPr>
        <sz val="6"/>
        <color theme="1"/>
        <rFont val="Times New Roman"/>
        <family val="1"/>
      </rPr>
      <t>23SS</t>
    </r>
  </si>
  <si>
    <r>
      <rPr>
        <sz val="6"/>
        <color theme="1"/>
        <rFont val="Times New Roman"/>
        <family val="1"/>
      </rPr>
      <t>25FS</t>
    </r>
  </si>
  <si>
    <r>
      <rPr>
        <sz val="6"/>
        <color theme="1"/>
        <rFont val="Times New Roman"/>
        <family val="1"/>
      </rPr>
      <t>23SS+1</t>
    </r>
  </si>
  <si>
    <r>
      <rPr>
        <sz val="6"/>
        <color theme="1"/>
        <rFont val="Times New Roman"/>
        <family val="1"/>
      </rPr>
      <t>Paku 7 - 10 cm</t>
    </r>
  </si>
  <si>
    <r>
      <rPr>
        <sz val="6"/>
        <color theme="1"/>
        <rFont val="Times New Roman"/>
        <family val="1"/>
      </rPr>
      <t>19SS</t>
    </r>
  </si>
  <si>
    <r>
      <rPr>
        <sz val="6"/>
        <color theme="1"/>
        <rFont val="Times New Roman"/>
        <family val="1"/>
      </rPr>
      <t>Papan Kayu Kelas III</t>
    </r>
  </si>
  <si>
    <r>
      <rPr>
        <b/>
        <sz val="6"/>
        <color theme="1"/>
        <rFont val="Times New Roman"/>
        <family val="1"/>
      </rPr>
      <t>Tie Biem</t>
    </r>
  </si>
  <si>
    <r>
      <rPr>
        <b/>
        <sz val="6"/>
        <color theme="1"/>
        <rFont val="Times New Roman"/>
        <family val="1"/>
      </rPr>
      <t>Pekerjaan Struktur Beton</t>
    </r>
  </si>
  <si>
    <r>
      <rPr>
        <sz val="6"/>
        <color theme="1"/>
        <rFont val="Times New Roman"/>
        <family val="1"/>
      </rPr>
      <t>18FS</t>
    </r>
  </si>
  <si>
    <r>
      <rPr>
        <sz val="6"/>
        <color theme="1"/>
        <rFont val="Times New Roman"/>
        <family val="1"/>
      </rPr>
      <t>Pembongkaran bekisting</t>
    </r>
  </si>
  <si>
    <r>
      <rPr>
        <sz val="6"/>
        <color theme="1"/>
        <rFont val="Times New Roman"/>
        <family val="1"/>
      </rPr>
      <t>17FS</t>
    </r>
  </si>
  <si>
    <r>
      <rPr>
        <sz val="6"/>
        <color theme="1"/>
        <rFont val="Times New Roman"/>
        <family val="1"/>
      </rPr>
      <t>16FS</t>
    </r>
  </si>
  <si>
    <r>
      <rPr>
        <sz val="6"/>
        <color theme="1"/>
        <rFont val="Times New Roman"/>
        <family val="1"/>
      </rPr>
      <t>Papan Kayu kelas III</t>
    </r>
  </si>
  <si>
    <r>
      <rPr>
        <sz val="6"/>
        <color theme="1"/>
        <rFont val="Times New Roman"/>
        <family val="1"/>
      </rPr>
      <t>14SS</t>
    </r>
  </si>
  <si>
    <r>
      <rPr>
        <sz val="6"/>
        <color theme="1"/>
        <rFont val="Times New Roman"/>
        <family val="1"/>
      </rPr>
      <t>Penulangan Footplate</t>
    </r>
  </si>
  <si>
    <r>
      <rPr>
        <b/>
        <sz val="6"/>
        <color theme="1"/>
        <rFont val="Times New Roman"/>
        <family val="1"/>
      </rPr>
      <t>Pekerjaan Struktur Pondasi</t>
    </r>
  </si>
  <si>
    <r>
      <rPr>
        <sz val="6"/>
        <color theme="1"/>
        <rFont val="Times New Roman"/>
        <family val="1"/>
      </rPr>
      <t>12FS</t>
    </r>
  </si>
  <si>
    <r>
      <rPr>
        <sz val="6"/>
        <color theme="1"/>
        <rFont val="Times New Roman"/>
        <family val="1"/>
      </rPr>
      <t>Stamper Smooth_Drum 1,5 Ton</t>
    </r>
  </si>
  <si>
    <r>
      <rPr>
        <sz val="6"/>
        <color theme="1"/>
        <rFont val="Times New Roman"/>
        <family val="1"/>
      </rPr>
      <t>Urugan Pasir Bawah Foot Plat</t>
    </r>
  </si>
  <si>
    <r>
      <rPr>
        <sz val="6"/>
        <color theme="1"/>
        <rFont val="Times New Roman"/>
        <family val="1"/>
      </rPr>
      <t>19FS-1</t>
    </r>
  </si>
  <si>
    <r>
      <rPr>
        <sz val="6"/>
        <color theme="1"/>
        <rFont val="Times New Roman"/>
        <family val="1"/>
      </rPr>
      <t>Urugan Kembali</t>
    </r>
  </si>
  <si>
    <r>
      <rPr>
        <sz val="6"/>
        <color theme="1"/>
        <rFont val="Times New Roman"/>
        <family val="1"/>
      </rPr>
      <t>8FS</t>
    </r>
  </si>
  <si>
    <r>
      <rPr>
        <sz val="6"/>
        <color theme="1"/>
        <rFont val="Times New Roman"/>
        <family val="1"/>
      </rPr>
      <t>Galian Tanah Foot Plate (FP)</t>
    </r>
  </si>
  <si>
    <r>
      <rPr>
        <b/>
        <sz val="6"/>
        <color theme="1"/>
        <rFont val="Times New Roman"/>
        <family val="1"/>
      </rPr>
      <t>Pekerjaan Galian Tanah</t>
    </r>
  </si>
  <si>
    <r>
      <rPr>
        <b/>
        <sz val="6"/>
        <color theme="1"/>
        <rFont val="Times New Roman"/>
        <family val="1"/>
      </rPr>
      <t>Pekerjaan Struktur</t>
    </r>
  </si>
  <si>
    <r>
      <rPr>
        <sz val="6"/>
        <color theme="1"/>
        <rFont val="Times New Roman"/>
        <family val="1"/>
      </rPr>
      <t>7SS</t>
    </r>
  </si>
  <si>
    <r>
      <rPr>
        <sz val="6"/>
        <color theme="1"/>
        <rFont val="Times New Roman"/>
        <family val="1"/>
      </rPr>
      <t>ls</t>
    </r>
  </si>
  <si>
    <r>
      <rPr>
        <sz val="6"/>
        <color theme="1"/>
        <rFont val="Times New Roman"/>
        <family val="1"/>
      </rPr>
      <t>K3</t>
    </r>
  </si>
  <si>
    <t>Paku biasa 5 inchi</t>
  </si>
  <si>
    <r>
      <rPr>
        <sz val="6"/>
        <color theme="1"/>
        <rFont val="Times New Roman"/>
        <family val="1"/>
      </rPr>
      <t>Kayu papan 3/20 cm</t>
    </r>
  </si>
  <si>
    <r>
      <rPr>
        <i/>
        <sz val="6"/>
        <color theme="1"/>
        <rFont val="Arial"/>
        <family val="2"/>
      </rPr>
      <t>waterpass</t>
    </r>
  </si>
  <si>
    <r>
      <rPr>
        <sz val="6"/>
        <color theme="1"/>
        <rFont val="Times New Roman"/>
        <family val="1"/>
      </rPr>
      <t>Kaso 5/7</t>
    </r>
  </si>
  <si>
    <r>
      <rPr>
        <sz val="6"/>
        <color theme="1"/>
        <rFont val="Times New Roman"/>
        <family val="1"/>
      </rPr>
      <t>m'</t>
    </r>
  </si>
  <si>
    <r>
      <rPr>
        <sz val="6"/>
        <color theme="1"/>
        <rFont val="Times New Roman"/>
        <family val="1"/>
      </rPr>
      <t>Pekerjaan Bouwplank</t>
    </r>
  </si>
  <si>
    <r>
      <rPr>
        <sz val="6"/>
        <color theme="1"/>
        <rFont val="Times New Roman"/>
        <family val="1"/>
      </rPr>
      <t>6SS</t>
    </r>
  </si>
  <si>
    <r>
      <rPr>
        <sz val="6"/>
        <color theme="1"/>
        <rFont val="Times New Roman"/>
        <family val="1"/>
      </rPr>
      <t>Pengadaan Tenaga Listrik</t>
    </r>
  </si>
  <si>
    <r>
      <rPr>
        <sz val="6"/>
        <color theme="1"/>
        <rFont val="Times New Roman"/>
        <family val="1"/>
      </rPr>
      <t>5SS</t>
    </r>
  </si>
  <si>
    <r>
      <rPr>
        <sz val="6"/>
        <color theme="1"/>
        <rFont val="Times New Roman"/>
        <family val="1"/>
      </rPr>
      <t>Pengadaan Sumber Daya Air</t>
    </r>
  </si>
  <si>
    <r>
      <rPr>
        <sz val="6"/>
        <color theme="1"/>
        <rFont val="Times New Roman"/>
        <family val="1"/>
      </rPr>
      <t>Residu</t>
    </r>
  </si>
  <si>
    <r>
      <rPr>
        <sz val="6"/>
        <color theme="1"/>
        <rFont val="Times New Roman"/>
        <family val="1"/>
      </rPr>
      <t>Pasir Beton</t>
    </r>
  </si>
  <si>
    <r>
      <rPr>
        <sz val="6"/>
        <color theme="1"/>
        <rFont val="Times New Roman"/>
        <family val="1"/>
      </rPr>
      <t>Semen Portland (PC)</t>
    </r>
  </si>
  <si>
    <r>
      <rPr>
        <sz val="6"/>
        <color theme="1"/>
        <rFont val="Times New Roman"/>
        <family val="1"/>
      </rPr>
      <t>Paku biasa 5 inchi</t>
    </r>
  </si>
  <si>
    <r>
      <rPr>
        <sz val="6"/>
        <color theme="1"/>
        <rFont val="Times New Roman"/>
        <family val="1"/>
      </rPr>
      <t>Tukang Batu</t>
    </r>
  </si>
  <si>
    <r>
      <rPr>
        <sz val="6"/>
        <color theme="1"/>
        <rFont val="Times New Roman"/>
        <family val="1"/>
      </rPr>
      <t>Papan Kayu ukuran 2/20 cm</t>
    </r>
  </si>
  <si>
    <r>
      <rPr>
        <sz val="6"/>
        <color theme="1"/>
        <rFont val="Times New Roman"/>
        <family val="1"/>
      </rPr>
      <t>4SS</t>
    </r>
  </si>
  <si>
    <r>
      <rPr>
        <sz val="6"/>
        <color theme="1"/>
        <rFont val="Times New Roman"/>
        <family val="1"/>
      </rPr>
      <t>Kaso 5/7 kayu kelas II</t>
    </r>
  </si>
  <si>
    <r>
      <rPr>
        <sz val="6"/>
        <color theme="1"/>
        <rFont val="Times New Roman"/>
        <family val="1"/>
      </rPr>
      <t>Pagar Proyek</t>
    </r>
  </si>
  <si>
    <r>
      <rPr>
        <sz val="6"/>
        <color theme="1"/>
        <rFont val="Times New Roman"/>
        <family val="1"/>
      </rPr>
      <t>3SS</t>
    </r>
  </si>
  <si>
    <r>
      <rPr>
        <sz val="6"/>
        <color theme="1"/>
        <rFont val="Times New Roman"/>
        <family val="1"/>
      </rPr>
      <t>Pembersihan Lahan</t>
    </r>
  </si>
  <si>
    <r>
      <rPr>
        <sz val="6"/>
        <color theme="1"/>
        <rFont val="Times New Roman"/>
        <family val="1"/>
      </rPr>
      <t>Mobilisasi dan Demobilisasi</t>
    </r>
  </si>
  <si>
    <r>
      <rPr>
        <b/>
        <sz val="6"/>
        <color theme="1"/>
        <rFont val="Times New Roman"/>
        <family val="1"/>
      </rPr>
      <t>Pekerjaan Persiapan</t>
    </r>
  </si>
  <si>
    <r>
      <rPr>
        <b/>
        <sz val="6"/>
        <color theme="1"/>
        <rFont val="Times New Roman"/>
        <family val="1"/>
      </rPr>
      <t>Pembangunan Gedung Perkuliahan</t>
    </r>
  </si>
  <si>
    <r>
      <rPr>
        <sz val="6"/>
        <color theme="1"/>
        <rFont val="Times New Roman"/>
        <family val="1"/>
      </rPr>
      <t>Works</t>
    </r>
  </si>
  <si>
    <r>
      <rPr>
        <sz val="6"/>
        <color theme="1"/>
        <rFont val="Times New Roman"/>
        <family val="1"/>
      </rPr>
      <t>Nama</t>
    </r>
  </si>
  <si>
    <r>
      <rPr>
        <sz val="6"/>
        <color theme="1"/>
        <rFont val="Times New Roman"/>
        <family val="1"/>
      </rPr>
      <t>Alat</t>
    </r>
  </si>
  <si>
    <r>
      <rPr>
        <sz val="6"/>
        <color theme="1"/>
        <rFont val="Times New Roman"/>
        <family val="1"/>
      </rPr>
      <t>Material</t>
    </r>
  </si>
  <si>
    <r>
      <rPr>
        <sz val="6"/>
        <color theme="1"/>
        <rFont val="Times New Roman"/>
        <family val="1"/>
      </rPr>
      <t>Tenaga Kerja</t>
    </r>
  </si>
  <si>
    <r>
      <rPr>
        <sz val="6"/>
        <color theme="1"/>
        <rFont val="Times New Roman"/>
        <family val="1"/>
      </rPr>
      <t>Predecessor</t>
    </r>
  </si>
  <si>
    <r>
      <rPr>
        <sz val="6"/>
        <color theme="1"/>
        <rFont val="Times New Roman"/>
        <family val="1"/>
      </rPr>
      <t>Resources Name</t>
    </r>
  </si>
  <si>
    <r>
      <rPr>
        <sz val="6"/>
        <color theme="1"/>
        <rFont val="Times New Roman"/>
        <family val="1"/>
      </rPr>
      <t>Durasi (Minggu)</t>
    </r>
  </si>
  <si>
    <r>
      <rPr>
        <sz val="6"/>
        <color theme="1"/>
        <rFont val="Times New Roman"/>
        <family val="1"/>
      </rPr>
      <t>Satuan</t>
    </r>
  </si>
  <si>
    <r>
      <rPr>
        <sz val="6"/>
        <color theme="1"/>
        <rFont val="Times New Roman"/>
        <family val="1"/>
      </rPr>
      <t>Volume</t>
    </r>
  </si>
  <si>
    <r>
      <rPr>
        <sz val="6"/>
        <color theme="1"/>
        <rFont val="Times New Roman"/>
        <family val="1"/>
      </rPr>
      <t>Task Name</t>
    </r>
  </si>
  <si>
    <r>
      <rPr>
        <sz val="6"/>
        <color theme="1"/>
        <rFont val="Times New Roman"/>
        <family val="1"/>
      </rPr>
      <t>No</t>
    </r>
  </si>
  <si>
    <r>
      <rPr>
        <b/>
        <sz val="9"/>
        <color theme="1"/>
        <rFont val="Times New Roman"/>
        <family val="1"/>
      </rPr>
      <t>SOAL GANJIL GEDUNG PERKULIAHAN</t>
    </r>
  </si>
  <si>
    <t>hari</t>
  </si>
  <si>
    <t>Molen beton mixer 350 liter</t>
  </si>
  <si>
    <t>Waterpass</t>
  </si>
  <si>
    <t>Stamper Smooth_Drum</t>
  </si>
  <si>
    <t>Cutter baja beton</t>
  </si>
  <si>
    <t>Bender baja beton</t>
  </si>
  <si>
    <t>SEWA PERALATAN</t>
  </si>
  <si>
    <t>III</t>
  </si>
  <si>
    <t>zak</t>
  </si>
  <si>
    <t>Mortar Perekat Bata Ringan</t>
  </si>
  <si>
    <t>liter</t>
  </si>
  <si>
    <t>Air</t>
  </si>
  <si>
    <t>MATERIAL LAIN-LAIN</t>
  </si>
  <si>
    <t>P</t>
  </si>
  <si>
    <t>Residu</t>
  </si>
  <si>
    <t>Minyak bekisting</t>
  </si>
  <si>
    <t>MATERIAL MINYAK</t>
  </si>
  <si>
    <t>L</t>
  </si>
  <si>
    <t>m2</t>
  </si>
  <si>
    <t>Bekisting</t>
  </si>
  <si>
    <t>MATERIAL SANITAIR</t>
  </si>
  <si>
    <t>K</t>
  </si>
  <si>
    <t>kg</t>
  </si>
  <si>
    <t>Semen Portland (PC)</t>
  </si>
  <si>
    <t>BAP 39</t>
  </si>
  <si>
    <t>buah</t>
  </si>
  <si>
    <t>Formtie/penjaga jarak bekesting/spacer</t>
  </si>
  <si>
    <t>BAP 24</t>
  </si>
  <si>
    <t>MATERIAL BETON DAN ADUKAN PASANGAN</t>
  </si>
  <si>
    <t>G</t>
  </si>
  <si>
    <t>Homogenous tile unpolish 30x30 cm</t>
  </si>
  <si>
    <t>PLD 25</t>
  </si>
  <si>
    <t>MATERIAL PENUTUP LANTAI DAN DINDING</t>
  </si>
  <si>
    <t>F</t>
  </si>
  <si>
    <t>lembar</t>
  </si>
  <si>
    <t>Plafon akustik 30x60 cm</t>
  </si>
  <si>
    <t>PA 112</t>
  </si>
  <si>
    <t>MATERIAL PENUTUP ATAP</t>
  </si>
  <si>
    <t>E</t>
  </si>
  <si>
    <t>Paku 7 - 10 cm</t>
  </si>
  <si>
    <t>BB 77</t>
  </si>
  <si>
    <t>Paku 5 dan 7 cm</t>
  </si>
  <si>
    <t>BB 76</t>
  </si>
  <si>
    <t>BB 75</t>
  </si>
  <si>
    <t>BB 74</t>
  </si>
  <si>
    <t>Paku 2 inch</t>
  </si>
  <si>
    <t>BB 72</t>
  </si>
  <si>
    <t>Kawat beton</t>
  </si>
  <si>
    <t>BB 58</t>
  </si>
  <si>
    <t>Baja Tulangan Polos (BjTP) diameter &gt;12 mm</t>
  </si>
  <si>
    <t>BB 38</t>
  </si>
  <si>
    <t>MATERIAL BESI DAN BAJA</t>
  </si>
  <si>
    <t>D</t>
  </si>
  <si>
    <t>Plywood 12 mm</t>
  </si>
  <si>
    <t>KB 47</t>
  </si>
  <si>
    <t>Untuk Kayu Kruing/Sengon</t>
  </si>
  <si>
    <t>m3</t>
  </si>
  <si>
    <t>Kayu papan kelas III</t>
  </si>
  <si>
    <t>KB 31</t>
  </si>
  <si>
    <t>Untuk Bowplank</t>
  </si>
  <si>
    <t>Kayu papan 3/20 cm</t>
  </si>
  <si>
    <t>KB 28</t>
  </si>
  <si>
    <t>Untuk Pagar Sementara</t>
  </si>
  <si>
    <t>Papan Kayu ukuran 2/20 cm</t>
  </si>
  <si>
    <t>KB 26</t>
  </si>
  <si>
    <t>Untuk Kayu Bengkirai</t>
  </si>
  <si>
    <t>Kaso 5/7 kayu kelas II</t>
  </si>
  <si>
    <t>KB 23</t>
  </si>
  <si>
    <t>Kaso 5/7</t>
  </si>
  <si>
    <t>KB 22</t>
  </si>
  <si>
    <t>M3</t>
  </si>
  <si>
    <t>Kayu balok kelas III</t>
  </si>
  <si>
    <t>KB 16</t>
  </si>
  <si>
    <t>Untuk Kayu Meranti/Kamper</t>
  </si>
  <si>
    <t>Kayu balok 6/12 kelas II</t>
  </si>
  <si>
    <t>KB 15</t>
  </si>
  <si>
    <t>batang</t>
  </si>
  <si>
    <t>Dolken kayu φ 8-10 panjang 400 cm</t>
  </si>
  <si>
    <t>KB 11</t>
  </si>
  <si>
    <t>MATERIAL KAYU DAN BAMBU</t>
  </si>
  <si>
    <t>B</t>
  </si>
  <si>
    <t>Pasir pasang</t>
  </si>
  <si>
    <t>m.52</t>
  </si>
  <si>
    <t>Pasir Beton</t>
  </si>
  <si>
    <t>m.46</t>
  </si>
  <si>
    <t>Kerikil</t>
  </si>
  <si>
    <t>m.43</t>
  </si>
  <si>
    <t>Fly ash</t>
  </si>
  <si>
    <t>m.39</t>
  </si>
  <si>
    <t>Batu belah (quarry)</t>
  </si>
  <si>
    <t>m.22</t>
  </si>
  <si>
    <t>Bata ringan tebal 10 cm</t>
  </si>
  <si>
    <t>m.10</t>
  </si>
  <si>
    <t>Agregat kasar</t>
  </si>
  <si>
    <t>m.1</t>
  </si>
  <si>
    <t>MATERIAL TANAH DAN BATUAN</t>
  </si>
  <si>
    <t>A</t>
  </si>
  <si>
    <t>MATERIAL</t>
  </si>
  <si>
    <t>II.</t>
  </si>
  <si>
    <t>OH</t>
  </si>
  <si>
    <t>Mandor</t>
  </si>
  <si>
    <t>L.04</t>
  </si>
  <si>
    <t>Kepala tukang</t>
  </si>
  <si>
    <t>L.03</t>
  </si>
  <si>
    <t>Tukang tembok</t>
  </si>
  <si>
    <t>L.02</t>
  </si>
  <si>
    <t>Tukang besi</t>
  </si>
  <si>
    <t>Tukang kayu</t>
  </si>
  <si>
    <t>Tukang batu</t>
  </si>
  <si>
    <t>Pekerja</t>
  </si>
  <si>
    <t>L.01</t>
  </si>
  <si>
    <t>UPAH</t>
  </si>
  <si>
    <t>I.</t>
  </si>
  <si>
    <t>KETERANGAN</t>
  </si>
  <si>
    <t>HARGA SATUAN</t>
  </si>
  <si>
    <t>SATUAN</t>
  </si>
  <si>
    <t>UPAH - MATERIAL - ALAT</t>
  </si>
  <si>
    <t>Kode</t>
  </si>
  <si>
    <t>NO</t>
  </si>
  <si>
    <t>HARGA SATUAN UPAH - MATERIAL - ALAT</t>
  </si>
  <si>
    <t>RESOURCE GEDUNG</t>
  </si>
  <si>
    <t>Demobilisasi</t>
  </si>
  <si>
    <t>Papan nama embung</t>
  </si>
  <si>
    <t>Pagar pengaman embung</t>
  </si>
  <si>
    <t>Lampu taman tenaga surya</t>
  </si>
  <si>
    <t>Jalur pedestrian dan jogging track</t>
  </si>
  <si>
    <t>Bangku taman</t>
  </si>
  <si>
    <t>Taman bermain dan penghijauan</t>
  </si>
  <si>
    <t>Gazebo wisata 4*4 m</t>
  </si>
  <si>
    <t>Toilet</t>
  </si>
  <si>
    <t>Mushola</t>
  </si>
  <si>
    <t>Pintu Sorong Baja Roda Gigi Stang Tunggal b 0.30 h 0.40</t>
  </si>
  <si>
    <t>Pengadaan Sumber Daya Air</t>
  </si>
  <si>
    <t>Pengadaan Tenaga Listrik</t>
  </si>
  <si>
    <t>Direksi Keet</t>
  </si>
  <si>
    <t>Mobilisasi</t>
  </si>
  <si>
    <t>K3</t>
  </si>
  <si>
    <t>LUMPSUM</t>
  </si>
  <si>
    <t>D.</t>
  </si>
  <si>
    <t>Jam</t>
  </si>
  <si>
    <t>Vibro Roller</t>
  </si>
  <si>
    <t>Tandem Roller</t>
  </si>
  <si>
    <t>Tire Roller</t>
  </si>
  <si>
    <t>Water Tank Truck</t>
  </si>
  <si>
    <t>Dump Truck</t>
  </si>
  <si>
    <t>Hari</t>
  </si>
  <si>
    <t>Concrete Vibrator</t>
  </si>
  <si>
    <t>Batching Plant Mini</t>
  </si>
  <si>
    <t>Concrete Mixer</t>
  </si>
  <si>
    <t>Bulldozer</t>
  </si>
  <si>
    <t>Excavator</t>
  </si>
  <si>
    <t>ALAT</t>
  </si>
  <si>
    <t>C.</t>
  </si>
  <si>
    <t>Lantai Kerja Fc' 10 Mpa</t>
  </si>
  <si>
    <t>Buah</t>
  </si>
  <si>
    <t>U-Ditch 50 x50 cm</t>
  </si>
  <si>
    <t>Bata Ringan</t>
  </si>
  <si>
    <t>Beton Fc' 30 Mpa</t>
  </si>
  <si>
    <t>Geotextile Non-Woven</t>
  </si>
  <si>
    <t>Liter</t>
  </si>
  <si>
    <t>Minyak Bekisting</t>
  </si>
  <si>
    <t>Kg</t>
  </si>
  <si>
    <t>Paku 5 cm dan 7 cm</t>
  </si>
  <si>
    <t>Lembar</t>
  </si>
  <si>
    <t>Multiplex 6 mm</t>
  </si>
  <si>
    <t>Geomembran HDPE 1 mm</t>
  </si>
  <si>
    <t>Kawat Ikat</t>
  </si>
  <si>
    <t>Besi Wiremesh M6</t>
  </si>
  <si>
    <t>Batu Pecah (Split)</t>
  </si>
  <si>
    <t>Portland Cement</t>
  </si>
  <si>
    <t>Pasir Pasang</t>
  </si>
  <si>
    <t>Semen</t>
  </si>
  <si>
    <t>Pasir</t>
  </si>
  <si>
    <t>Batu Belah Hitam</t>
  </si>
  <si>
    <t>Pas. Batu  uk. 20/50 t=40cm</t>
  </si>
  <si>
    <t>m</t>
  </si>
  <si>
    <t>Kawat Seng</t>
  </si>
  <si>
    <t>Baja Tulangan Ulir</t>
  </si>
  <si>
    <t>Seng Gelombang BJLS-30</t>
  </si>
  <si>
    <t>Floor Lantai (Beton Lanta Kerja)</t>
  </si>
  <si>
    <t>Fondasi Pas. Batu</t>
  </si>
  <si>
    <t>Paku</t>
  </si>
  <si>
    <t xml:space="preserve">Lembar </t>
  </si>
  <si>
    <t>Papan 3/20</t>
  </si>
  <si>
    <t>Kayu Kaso 5/7</t>
  </si>
  <si>
    <t>B.</t>
  </si>
  <si>
    <t>Kepala Tukang</t>
  </si>
  <si>
    <t>Tukang Las</t>
  </si>
  <si>
    <t>Tukang Besi</t>
  </si>
  <si>
    <t>Tukang Batu / Tembok</t>
  </si>
  <si>
    <t>Tukang Kayu</t>
  </si>
  <si>
    <t>Tukang</t>
  </si>
  <si>
    <t>A.</t>
  </si>
  <si>
    <t>Harga Satuan</t>
  </si>
  <si>
    <t>Satuan</t>
  </si>
  <si>
    <t>Upah - Material - Alat</t>
  </si>
  <si>
    <t>No</t>
  </si>
  <si>
    <t>80FF</t>
  </si>
  <si>
    <t>LS</t>
  </si>
  <si>
    <t xml:space="preserve">      Demobilisasi</t>
  </si>
  <si>
    <t>79FF</t>
  </si>
  <si>
    <t xml:space="preserve">      Papan nama embung</t>
  </si>
  <si>
    <t>78SS+4</t>
  </si>
  <si>
    <t xml:space="preserve">      Pagar pengaman embung</t>
  </si>
  <si>
    <t>77FF</t>
  </si>
  <si>
    <t xml:space="preserve">      Lampu taman tenaga surya</t>
  </si>
  <si>
    <t>76SS</t>
  </si>
  <si>
    <t xml:space="preserve">      Jalur pedestrian dan jogging track</t>
  </si>
  <si>
    <t>75FF</t>
  </si>
  <si>
    <t xml:space="preserve">      Bangku taman</t>
  </si>
  <si>
    <t>74SS+3</t>
  </si>
  <si>
    <t xml:space="preserve">      Taman bermain dan penghijauan</t>
  </si>
  <si>
    <t>73FF</t>
  </si>
  <si>
    <t xml:space="preserve">      Gazebo wisata 4*4 m</t>
  </si>
  <si>
    <t>72SS</t>
  </si>
  <si>
    <t xml:space="preserve">      Toilet</t>
  </si>
  <si>
    <t>69SS</t>
  </si>
  <si>
    <t xml:space="preserve">      Mushola</t>
  </si>
  <si>
    <t xml:space="preserve">   Pekerjaan Finishing dan Penunjang Wisata</t>
  </si>
  <si>
    <t>69FF</t>
  </si>
  <si>
    <t>Timbunan Tanah</t>
  </si>
  <si>
    <t>68SS+1</t>
  </si>
  <si>
    <t>U-Ditch 50x50cm</t>
  </si>
  <si>
    <t xml:space="preserve">      U-Ditch 5*5 m</t>
  </si>
  <si>
    <t xml:space="preserve">Tukang batu </t>
  </si>
  <si>
    <t>67FF+1</t>
  </si>
  <si>
    <t xml:space="preserve">      Lantai kerja beton</t>
  </si>
  <si>
    <t>66SS</t>
  </si>
  <si>
    <t xml:space="preserve">      Buangan Galian</t>
  </si>
  <si>
    <t>59SS</t>
  </si>
  <si>
    <t xml:space="preserve">Excavator </t>
  </si>
  <si>
    <t xml:space="preserve">      Galian Tanah dengan alat</t>
  </si>
  <si>
    <t xml:space="preserve">   Pekerjaan Drainase</t>
  </si>
  <si>
    <t>62FF</t>
  </si>
  <si>
    <t>62SS</t>
  </si>
  <si>
    <t>Ls</t>
  </si>
  <si>
    <t xml:space="preserve">      Pintu Sorong Baja Roda Gigi Stang Tunggal b 0.30 h 0.40</t>
  </si>
  <si>
    <t>61SS+1</t>
  </si>
  <si>
    <t xml:space="preserve">      Plesteran 1 PC : 3 PS</t>
  </si>
  <si>
    <t>60FF</t>
  </si>
  <si>
    <t xml:space="preserve">      Siaran 1 PC : 2 PS</t>
  </si>
  <si>
    <t>semen</t>
  </si>
  <si>
    <t xml:space="preserve">Pasir </t>
  </si>
  <si>
    <t>59FS</t>
  </si>
  <si>
    <t xml:space="preserve">      Pasangan batu belah 1 PC : 4 PS</t>
  </si>
  <si>
    <t>58FS</t>
  </si>
  <si>
    <t>57SS</t>
  </si>
  <si>
    <t>50SS</t>
  </si>
  <si>
    <t xml:space="preserve">   Pekerjaan Outlet</t>
  </si>
  <si>
    <t>53FF</t>
  </si>
  <si>
    <t>51SS+3</t>
  </si>
  <si>
    <t>52SS</t>
  </si>
  <si>
    <t>51FF</t>
  </si>
  <si>
    <t>50SS+1</t>
  </si>
  <si>
    <t>49FS</t>
  </si>
  <si>
    <t>48SS</t>
  </si>
  <si>
    <t>42SS</t>
  </si>
  <si>
    <t xml:space="preserve">   Pekerjaan Inlet</t>
  </si>
  <si>
    <t>45FS</t>
  </si>
  <si>
    <t>44FS</t>
  </si>
  <si>
    <t>43FS</t>
  </si>
  <si>
    <t>42FS</t>
  </si>
  <si>
    <t>41FS</t>
  </si>
  <si>
    <t>40SS</t>
  </si>
  <si>
    <t>35SS</t>
  </si>
  <si>
    <t>Pekerjaan Saluran Spillway</t>
  </si>
  <si>
    <t>37FS</t>
  </si>
  <si>
    <t>36FS</t>
  </si>
  <si>
    <t xml:space="preserve">      Beton mutu Fc 25 Mpa</t>
  </si>
  <si>
    <t>Kaso 5/7 cm*</t>
  </si>
  <si>
    <t>35FS</t>
  </si>
  <si>
    <t>Multiplex 15 mm*</t>
  </si>
  <si>
    <t xml:space="preserve">      Bekisting</t>
  </si>
  <si>
    <t>34FS</t>
  </si>
  <si>
    <t xml:space="preserve">Baja Wiremesh M6; </t>
  </si>
  <si>
    <t xml:space="preserve">      Pembesian</t>
  </si>
  <si>
    <t>33SS</t>
  </si>
  <si>
    <t>27SS+2</t>
  </si>
  <si>
    <t>Pekerjaan Struktur Spillway</t>
  </si>
  <si>
    <t>Pekerjaan Spillway</t>
  </si>
  <si>
    <t>29FS</t>
  </si>
  <si>
    <t>28FS</t>
  </si>
  <si>
    <t>Geomembran HDPE 0,75 mm</t>
  </si>
  <si>
    <t xml:space="preserve">      Pengadaan &amp; pemasangan geomembran</t>
  </si>
  <si>
    <t>27FF+1</t>
  </si>
  <si>
    <t>26FS</t>
  </si>
  <si>
    <t>24FS</t>
  </si>
  <si>
    <t>24SS+2</t>
  </si>
  <si>
    <t>20SS-1</t>
  </si>
  <si>
    <t xml:space="preserve">   Pekerjaan Tubuh/Kolam Embung</t>
  </si>
  <si>
    <t>21FS</t>
  </si>
  <si>
    <t>20FS</t>
  </si>
  <si>
    <t>17SS</t>
  </si>
  <si>
    <t>18FS</t>
  </si>
  <si>
    <t>17SS+2</t>
  </si>
  <si>
    <t>16FS</t>
  </si>
  <si>
    <t>14FS</t>
  </si>
  <si>
    <t>14SS+3</t>
  </si>
  <si>
    <t>12FS</t>
  </si>
  <si>
    <t xml:space="preserve">   Pekerjaan Dinding Penahan Tanah Area</t>
  </si>
  <si>
    <t>11FF</t>
  </si>
  <si>
    <t xml:space="preserve">      Timbunan Tanah Dipadatkan Dengan Alat</t>
  </si>
  <si>
    <t>10SS</t>
  </si>
  <si>
    <t>9FS</t>
  </si>
  <si>
    <t>8FS</t>
  </si>
  <si>
    <t>Kaso 5/7 cm</t>
  </si>
  <si>
    <t xml:space="preserve">      Pekerjaan Bowplank</t>
  </si>
  <si>
    <t>7SS+1</t>
  </si>
  <si>
    <t xml:space="preserve">      Pengadaan Sumber Daya Air</t>
  </si>
  <si>
    <t>4FS</t>
  </si>
  <si>
    <t xml:space="preserve">      Pengadaan Tenaga Listrik</t>
  </si>
  <si>
    <t xml:space="preserve">      Direksi Keet</t>
  </si>
  <si>
    <t xml:space="preserve">Baja Tulangan Ulir </t>
  </si>
  <si>
    <t xml:space="preserve">Seng Gelombang BJLS-30 </t>
  </si>
  <si>
    <t>Pagar Proyek</t>
  </si>
  <si>
    <t>3SS</t>
  </si>
  <si>
    <t>Pekerjaan Persiapan</t>
  </si>
  <si>
    <t>Pembangunan Embung</t>
  </si>
  <si>
    <t>Works</t>
  </si>
  <si>
    <t>Nama</t>
  </si>
  <si>
    <t>Alat</t>
  </si>
  <si>
    <t>Material</t>
  </si>
  <si>
    <t>Tenaga Kerja</t>
  </si>
  <si>
    <t>Predecessor</t>
  </si>
  <si>
    <t>Resources Name</t>
  </si>
  <si>
    <t>Durasi (Minggu)</t>
  </si>
  <si>
    <t>Volume</t>
  </si>
  <si>
    <t>Task Name</t>
  </si>
  <si>
    <t>SOAL EMBUNG</t>
  </si>
  <si>
    <t>38FS</t>
  </si>
  <si>
    <r>
      <rPr>
        <sz val="6"/>
        <color theme="1"/>
        <rFont val="Times New Roman"/>
        <family val="1"/>
      </rPr>
      <t>Pemeliharaan Pelengkap Jalan</t>
    </r>
  </si>
  <si>
    <r>
      <rPr>
        <sz val="6"/>
        <color rgb="FF000000"/>
        <rFont val="Times New Roman"/>
        <family val="1"/>
      </rPr>
      <t xml:space="preserve">Pemeliharaan
</t>
    </r>
    <r>
      <rPr>
        <sz val="6"/>
        <color rgb="FF000000"/>
        <rFont val="Times New Roman"/>
        <family val="1"/>
      </rPr>
      <t>Rutin Perlengkapan Jalan</t>
    </r>
  </si>
  <si>
    <r>
      <rPr>
        <sz val="6"/>
        <color theme="1"/>
        <rFont val="Times New Roman"/>
        <family val="1"/>
      </rPr>
      <t>Pemeliharaan Saluran Air</t>
    </r>
  </si>
  <si>
    <r>
      <rPr>
        <sz val="6"/>
        <color theme="1"/>
        <rFont val="Times New Roman"/>
        <family val="1"/>
      </rPr>
      <t>Pemeliharaan Rutin Saluran Air</t>
    </r>
  </si>
  <si>
    <r>
      <rPr>
        <sz val="6"/>
        <color theme="1"/>
        <rFont val="Times New Roman"/>
        <family val="1"/>
      </rPr>
      <t>Pemliharaan Bahu Jalan</t>
    </r>
  </si>
  <si>
    <r>
      <rPr>
        <sz val="6"/>
        <color theme="1"/>
        <rFont val="Times New Roman"/>
        <family val="1"/>
      </rPr>
      <t>Pemeliharaan Rutin Bahu Jalan</t>
    </r>
  </si>
  <si>
    <r>
      <rPr>
        <sz val="6"/>
        <color theme="1"/>
        <rFont val="Times New Roman"/>
        <family val="1"/>
      </rPr>
      <t>DIV 8. PEKERJAAN PEMELIHARAAN RUTIN</t>
    </r>
  </si>
  <si>
    <t>Lampu LED 100 watt</t>
  </si>
  <si>
    <r>
      <rPr>
        <sz val="6"/>
        <color theme="1"/>
        <rFont val="Times New Roman"/>
        <family val="1"/>
      </rPr>
      <t>Crane on Track</t>
    </r>
  </si>
  <si>
    <r>
      <rPr>
        <sz val="6"/>
        <color theme="1"/>
        <rFont val="Times New Roman"/>
        <family val="1"/>
      </rPr>
      <t>Tiang Baja Galvanize</t>
    </r>
  </si>
  <si>
    <r>
      <rPr>
        <sz val="6"/>
        <color theme="1"/>
        <rFont val="Times New Roman"/>
        <family val="1"/>
      </rPr>
      <t>Tukang</t>
    </r>
  </si>
  <si>
    <r>
      <rPr>
        <sz val="6"/>
        <color theme="1"/>
        <rFont val="Times New Roman"/>
        <family val="1"/>
      </rPr>
      <t>Flat Bed Truck</t>
    </r>
  </si>
  <si>
    <r>
      <rPr>
        <sz val="6"/>
        <color theme="1"/>
        <rFont val="Times New Roman"/>
        <family val="1"/>
      </rPr>
      <t>Beton Fc 20 MPa</t>
    </r>
  </si>
  <si>
    <r>
      <rPr>
        <sz val="6"/>
        <color rgb="FF000000"/>
        <rFont val="Times New Roman"/>
        <family val="1"/>
      </rPr>
      <t>unit</t>
    </r>
  </si>
  <si>
    <r>
      <rPr>
        <sz val="6"/>
        <color rgb="FF000000"/>
        <rFont val="Times New Roman"/>
        <family val="1"/>
      </rPr>
      <t>Lampu Penerangan Jalan Lengan Ganda</t>
    </r>
  </si>
  <si>
    <r>
      <rPr>
        <sz val="6"/>
        <color theme="1"/>
        <rFont val="Times New Roman"/>
        <family val="1"/>
      </rPr>
      <t>Mortar</t>
    </r>
  </si>
  <si>
    <t>33FS</t>
  </si>
  <si>
    <r>
      <rPr>
        <sz val="6"/>
        <color theme="1"/>
        <rFont val="Times New Roman"/>
        <family val="1"/>
      </rPr>
      <t>Beton Fc 25 MPa</t>
    </r>
  </si>
  <si>
    <r>
      <rPr>
        <sz val="6"/>
        <color rgb="FF000000"/>
        <rFont val="Times New Roman"/>
        <family val="1"/>
      </rPr>
      <t>m3</t>
    </r>
  </si>
  <si>
    <t>Kerb Pracetak Jenis 1</t>
  </si>
  <si>
    <r>
      <rPr>
        <sz val="6"/>
        <color theme="1"/>
        <rFont val="Times New Roman"/>
        <family val="1"/>
      </rPr>
      <t>Baja Tulangan</t>
    </r>
  </si>
  <si>
    <r>
      <rPr>
        <sz val="6"/>
        <color rgb="FF000000"/>
        <rFont val="Times New Roman"/>
        <family val="1"/>
      </rPr>
      <t>32FS</t>
    </r>
  </si>
  <si>
    <r>
      <rPr>
        <sz val="6"/>
        <color theme="1"/>
        <rFont val="Times New Roman"/>
        <family val="1"/>
      </rPr>
      <t>Dump Truck</t>
    </r>
  </si>
  <si>
    <r>
      <rPr>
        <sz val="6"/>
        <color rgb="FF000000"/>
        <rFont val="Times New Roman"/>
        <family val="1"/>
      </rPr>
      <t>buah</t>
    </r>
  </si>
  <si>
    <r>
      <rPr>
        <sz val="6"/>
        <color rgb="FF000000"/>
        <rFont val="Times New Roman"/>
        <family val="1"/>
      </rPr>
      <t>Patok Kilometer</t>
    </r>
  </si>
  <si>
    <r>
      <rPr>
        <sz val="6"/>
        <color theme="1"/>
        <rFont val="Times New Roman"/>
        <family val="1"/>
      </rPr>
      <t>Cat</t>
    </r>
  </si>
  <si>
    <t>31FS</t>
  </si>
  <si>
    <r>
      <rPr>
        <sz val="6"/>
        <color rgb="FF000000"/>
        <rFont val="Times New Roman"/>
        <family val="1"/>
      </rPr>
      <t>Patok Pengarah</t>
    </r>
  </si>
  <si>
    <r>
      <rPr>
        <sz val="6"/>
        <color theme="1"/>
        <rFont val="Times New Roman"/>
        <family val="1"/>
      </rPr>
      <t>Pipa Galvanis Dia. 5"</t>
    </r>
  </si>
  <si>
    <t>30FS+1 wk</t>
  </si>
  <si>
    <r>
      <rPr>
        <sz val="6"/>
        <color theme="1"/>
        <rFont val="Times New Roman"/>
        <family val="1"/>
      </rPr>
      <t>Dump Truck 4 Ton</t>
    </r>
  </si>
  <si>
    <r>
      <rPr>
        <sz val="6"/>
        <color theme="1"/>
        <rFont val="Times New Roman"/>
        <family val="1"/>
      </rPr>
      <t>Pelat Rambu</t>
    </r>
  </si>
  <si>
    <t>Rambu Jalan Tunggal</t>
  </si>
  <si>
    <r>
      <rPr>
        <sz val="6"/>
        <color theme="1"/>
        <rFont val="Times New Roman"/>
        <family val="1"/>
      </rPr>
      <t>Residu Bitumen</t>
    </r>
  </si>
  <si>
    <r>
      <rPr>
        <sz val="6"/>
        <color rgb="FF000000"/>
        <rFont val="Times New Roman"/>
        <family val="1"/>
      </rPr>
      <t>ls</t>
    </r>
  </si>
  <si>
    <t>Resido Bitumen Untuk Pekerjaan Minor</t>
  </si>
  <si>
    <r>
      <rPr>
        <sz val="6"/>
        <color theme="1"/>
        <rFont val="Times New Roman"/>
        <family val="1"/>
      </rPr>
      <t>Uji Reflektifitas</t>
    </r>
  </si>
  <si>
    <r>
      <rPr>
        <sz val="6"/>
        <color theme="1"/>
        <rFont val="Times New Roman"/>
        <family val="1"/>
      </rPr>
      <t>Air Compressor</t>
    </r>
  </si>
  <si>
    <r>
      <rPr>
        <sz val="6"/>
        <color theme="1"/>
        <rFont val="Times New Roman"/>
        <family val="1"/>
      </rPr>
      <t>Glass Beads</t>
    </r>
  </si>
  <si>
    <t>27SS+ 2 wks</t>
  </si>
  <si>
    <t>Mesin Cat Marka Jalan Thermoplastik</t>
  </si>
  <si>
    <r>
      <rPr>
        <sz val="6"/>
        <color theme="1"/>
        <rFont val="Times New Roman"/>
        <family val="1"/>
      </rPr>
      <t>Cat Marka</t>
    </r>
  </si>
  <si>
    <r>
      <rPr>
        <sz val="6"/>
        <color rgb="FF000000"/>
        <rFont val="Times New Roman"/>
        <family val="1"/>
      </rPr>
      <t>m</t>
    </r>
  </si>
  <si>
    <t>Marka Jalan Termoplastik</t>
  </si>
  <si>
    <r>
      <rPr>
        <b/>
        <sz val="6"/>
        <color theme="1"/>
        <rFont val="Times New Roman"/>
        <family val="1"/>
      </rPr>
      <t>DIV 7. PENGEMBALIAN KONDISI DAN PEKERJAAN MINOR</t>
    </r>
  </si>
  <si>
    <r>
      <rPr>
        <sz val="6"/>
        <color theme="1"/>
        <rFont val="Times New Roman"/>
        <family val="1"/>
      </rPr>
      <t>Paku</t>
    </r>
  </si>
  <si>
    <r>
      <rPr>
        <sz val="6"/>
        <color theme="1"/>
        <rFont val="Times New Roman"/>
        <family val="1"/>
      </rPr>
      <t>Conccrete Vibrator</t>
    </r>
  </si>
  <si>
    <r>
      <rPr>
        <sz val="6"/>
        <color theme="1"/>
        <rFont val="Times New Roman"/>
        <family val="1"/>
      </rPr>
      <t>Kayu</t>
    </r>
  </si>
  <si>
    <r>
      <rPr>
        <sz val="6"/>
        <color theme="1"/>
        <rFont val="Times New Roman"/>
        <family val="1"/>
      </rPr>
      <t>Water Tank</t>
    </r>
  </si>
  <si>
    <r>
      <rPr>
        <sz val="6"/>
        <color theme="1"/>
        <rFont val="Times New Roman"/>
        <family val="1"/>
      </rPr>
      <t>Agr. Pch Mesin 0-5</t>
    </r>
  </si>
  <si>
    <r>
      <rPr>
        <sz val="6"/>
        <color theme="1"/>
        <rFont val="Times New Roman"/>
        <family val="1"/>
      </rPr>
      <t>Truck Mixer</t>
    </r>
  </si>
  <si>
    <t>26SS+1 wk</t>
  </si>
  <si>
    <r>
      <rPr>
        <sz val="6"/>
        <color theme="1"/>
        <rFont val="Times New Roman"/>
        <family val="1"/>
      </rPr>
      <t>Batching Plant</t>
    </r>
  </si>
  <si>
    <r>
      <rPr>
        <sz val="6"/>
        <color theme="1"/>
        <rFont val="Times New Roman"/>
        <family val="1"/>
      </rPr>
      <t>Semen</t>
    </r>
  </si>
  <si>
    <r>
      <rPr>
        <sz val="6"/>
        <color rgb="FF000000"/>
        <rFont val="Times New Roman"/>
        <family val="1"/>
      </rPr>
      <t>Pengecoran Bahu Jalan</t>
    </r>
  </si>
  <si>
    <r>
      <rPr>
        <sz val="6"/>
        <color theme="1"/>
        <rFont val="Times New Roman"/>
        <family val="1"/>
      </rPr>
      <t>Tire Roller</t>
    </r>
  </si>
  <si>
    <r>
      <rPr>
        <sz val="6"/>
        <color theme="1"/>
        <rFont val="Times New Roman"/>
        <family val="1"/>
      </rPr>
      <t>Tandem Roller</t>
    </r>
  </si>
  <si>
    <r>
      <rPr>
        <sz val="6"/>
        <color theme="1"/>
        <rFont val="Times New Roman"/>
        <family val="1"/>
      </rPr>
      <t>Asp. Finisher</t>
    </r>
  </si>
  <si>
    <r>
      <rPr>
        <sz val="6"/>
        <color theme="1"/>
        <rFont val="Times New Roman"/>
        <family val="1"/>
      </rPr>
      <t>Dump Truck 10 Ton</t>
    </r>
  </si>
  <si>
    <r>
      <rPr>
        <sz val="6"/>
        <color theme="1"/>
        <rFont val="Times New Roman"/>
        <family val="1"/>
      </rPr>
      <t>Aspal</t>
    </r>
  </si>
  <si>
    <r>
      <rPr>
        <sz val="6"/>
        <color theme="1"/>
        <rFont val="Times New Roman"/>
        <family val="1"/>
      </rPr>
      <t>Genset</t>
    </r>
  </si>
  <si>
    <r>
      <rPr>
        <sz val="6"/>
        <color theme="1"/>
        <rFont val="Times New Roman"/>
        <family val="1"/>
      </rPr>
      <t>AMP</t>
    </r>
  </si>
  <si>
    <r>
      <rPr>
        <sz val="6"/>
        <color rgb="FF000000"/>
        <rFont val="Times New Roman"/>
        <family val="1"/>
      </rPr>
      <t>25FS</t>
    </r>
  </si>
  <si>
    <r>
      <rPr>
        <sz val="6"/>
        <color theme="1"/>
        <rFont val="Times New Roman"/>
        <family val="1"/>
      </rPr>
      <t>Wheel Loader</t>
    </r>
  </si>
  <si>
    <r>
      <rPr>
        <sz val="6"/>
        <color theme="1"/>
        <rFont val="Times New Roman"/>
        <family val="1"/>
      </rPr>
      <t>Agr. Pch Mesin 5-10 &amp; 10-20</t>
    </r>
  </si>
  <si>
    <r>
      <rPr>
        <sz val="6"/>
        <color rgb="FF000000"/>
        <rFont val="Times New Roman"/>
        <family val="1"/>
      </rPr>
      <t>Laston Lapis Aus (AC-WC)</t>
    </r>
  </si>
  <si>
    <r>
      <rPr>
        <sz val="6"/>
        <color rgb="FF000000"/>
        <rFont val="Times New Roman"/>
        <family val="1"/>
      </rPr>
      <t>Laston Lapis Antara (AC-BC)</t>
    </r>
  </si>
  <si>
    <r>
      <rPr>
        <sz val="6"/>
        <color theme="1"/>
        <rFont val="Times New Roman"/>
        <family val="1"/>
      </rPr>
      <t>Power Broom</t>
    </r>
  </si>
  <si>
    <t>22SS+3 wks</t>
  </si>
  <si>
    <r>
      <rPr>
        <sz val="6"/>
        <color theme="1"/>
        <rFont val="Times New Roman"/>
        <family val="1"/>
      </rPr>
      <t>Asp. Distributor</t>
    </r>
  </si>
  <si>
    <t>Aspal Emulsi RS-1 Anionik</t>
  </si>
  <si>
    <t>Lapis Perekat - Aspal Cair/Emulsi Rapid Setting</t>
  </si>
  <si>
    <r>
      <rPr>
        <b/>
        <sz val="6"/>
        <color theme="1"/>
        <rFont val="Times New Roman"/>
        <family val="1"/>
      </rPr>
      <t>DIV. 6 PEKERJAAN ASPAL DAN BAHU</t>
    </r>
  </si>
  <si>
    <r>
      <rPr>
        <sz val="6"/>
        <color theme="1"/>
        <rFont val="Times New Roman"/>
        <family val="1"/>
      </rPr>
      <t>Baby Vibratory Roller</t>
    </r>
  </si>
  <si>
    <t>21SS+1 wk</t>
  </si>
  <si>
    <r>
      <rPr>
        <sz val="6"/>
        <color theme="1"/>
        <rFont val="Times New Roman"/>
        <family val="1"/>
      </rPr>
      <t>Jack Hammer</t>
    </r>
  </si>
  <si>
    <r>
      <rPr>
        <sz val="6"/>
        <color theme="1"/>
        <rFont val="Times New Roman"/>
        <family val="1"/>
      </rPr>
      <t>Agregat Kelas B</t>
    </r>
  </si>
  <si>
    <r>
      <rPr>
        <sz val="6"/>
        <color rgb="FF000000"/>
        <rFont val="Times New Roman"/>
        <family val="1"/>
      </rPr>
      <t>Lapis Pondasi Agregat Kelas B</t>
    </r>
  </si>
  <si>
    <r>
      <rPr>
        <sz val="6"/>
        <color theme="1"/>
        <rFont val="Times New Roman"/>
        <family val="1"/>
      </rPr>
      <t>Vibrator Roller</t>
    </r>
  </si>
  <si>
    <r>
      <rPr>
        <sz val="6"/>
        <color theme="1"/>
        <rFont val="Times New Roman"/>
        <family val="1"/>
      </rPr>
      <t>Motor Grader</t>
    </r>
  </si>
  <si>
    <t>20SS+1 wk</t>
  </si>
  <si>
    <r>
      <rPr>
        <sz val="6"/>
        <color theme="1"/>
        <rFont val="Times New Roman"/>
        <family val="1"/>
      </rPr>
      <t>Agregat Kelas A</t>
    </r>
  </si>
  <si>
    <r>
      <rPr>
        <sz val="6"/>
        <color theme="1"/>
        <rFont val="Times New Roman"/>
        <family val="1"/>
      </rPr>
      <t>Lapis Pondasi Agregat Kelas A</t>
    </r>
  </si>
  <si>
    <t>18SS+1 wk</t>
  </si>
  <si>
    <r>
      <rPr>
        <sz val="6"/>
        <color theme="1"/>
        <rFont val="Times New Roman"/>
        <family val="1"/>
      </rPr>
      <t>Agregat Kelas S</t>
    </r>
  </si>
  <si>
    <t>Lapis Pondasi Agregat Kelas S Bahu Jalan</t>
  </si>
  <si>
    <r>
      <rPr>
        <b/>
        <sz val="6"/>
        <color theme="1"/>
        <rFont val="Times New Roman"/>
        <family val="1"/>
      </rPr>
      <t>DIV 5. PEKERJAAN STRUKTUR</t>
    </r>
  </si>
  <si>
    <t>17SS+1 wk</t>
  </si>
  <si>
    <r>
      <rPr>
        <sz val="6"/>
        <color theme="1"/>
        <rFont val="Times New Roman"/>
        <family val="1"/>
      </rPr>
      <t>15SS</t>
    </r>
  </si>
  <si>
    <r>
      <rPr>
        <b/>
        <sz val="6"/>
        <color theme="1"/>
        <rFont val="Times New Roman"/>
        <family val="1"/>
      </rPr>
      <t>DIV 4. PELEBARAN PERKERASAN DAN BAHU JALAN</t>
    </r>
  </si>
  <si>
    <r>
      <rPr>
        <sz val="6"/>
        <color theme="1"/>
        <rFont val="Times New Roman"/>
        <family val="1"/>
      </rPr>
      <t>Tandem/Vibro Roller</t>
    </r>
  </si>
  <si>
    <t>Penyiapan Badan Jalan</t>
  </si>
  <si>
    <r>
      <rPr>
        <sz val="6"/>
        <color theme="1"/>
        <rFont val="Times New Roman"/>
        <family val="1"/>
      </rPr>
      <t>Water Tank Truck</t>
    </r>
  </si>
  <si>
    <r>
      <rPr>
        <sz val="6"/>
        <color theme="1"/>
        <rFont val="Times New Roman"/>
        <family val="1"/>
      </rPr>
      <t>Sheepfoot Roller</t>
    </r>
  </si>
  <si>
    <t>13SS+2 wks</t>
  </si>
  <si>
    <r>
      <rPr>
        <sz val="6"/>
        <color theme="1"/>
        <rFont val="Times New Roman"/>
        <family val="1"/>
      </rPr>
      <t>Excavator</t>
    </r>
  </si>
  <si>
    <t>Bahan Timbunan Biasa</t>
  </si>
  <si>
    <r>
      <rPr>
        <sz val="6"/>
        <color rgb="FF000000"/>
        <rFont val="Times New Roman"/>
        <family val="1"/>
      </rPr>
      <t>Timbunan Biasa</t>
    </r>
  </si>
  <si>
    <r>
      <rPr>
        <sz val="6"/>
        <color rgb="FF000000"/>
        <rFont val="Times New Roman"/>
        <family val="1"/>
      </rPr>
      <t>11FS</t>
    </r>
  </si>
  <si>
    <r>
      <rPr>
        <sz val="6"/>
        <color rgb="FF000000"/>
        <rFont val="Times New Roman"/>
        <family val="1"/>
      </rPr>
      <t>Galian Biasa</t>
    </r>
  </si>
  <si>
    <r>
      <rPr>
        <b/>
        <sz val="6"/>
        <color theme="1"/>
        <rFont val="Times New Roman"/>
        <family val="1"/>
      </rPr>
      <t>DIV 3. PEKERJAAN TANAH</t>
    </r>
  </si>
  <si>
    <r>
      <rPr>
        <sz val="6"/>
        <color theme="1"/>
        <rFont val="Times New Roman"/>
        <family val="1"/>
      </rPr>
      <t>Pasir</t>
    </r>
  </si>
  <si>
    <r>
      <rPr>
        <sz val="6"/>
        <color theme="1"/>
        <rFont val="Times New Roman"/>
        <family val="1"/>
      </rPr>
      <t>Semen (PC)</t>
    </r>
  </si>
  <si>
    <r>
      <rPr>
        <sz val="6"/>
        <color theme="1"/>
        <rFont val="Times New Roman"/>
        <family val="1"/>
      </rPr>
      <t>Cetakan Diameter 40</t>
    </r>
  </si>
  <si>
    <r>
      <rPr>
        <sz val="6"/>
        <color theme="1"/>
        <rFont val="Times New Roman"/>
        <family val="1"/>
      </rPr>
      <t>Timbunan Pilihan</t>
    </r>
  </si>
  <si>
    <r>
      <rPr>
        <sz val="6"/>
        <color theme="1"/>
        <rFont val="Times New Roman"/>
        <family val="1"/>
      </rPr>
      <t>Timbunan Porus</t>
    </r>
  </si>
  <si>
    <r>
      <rPr>
        <sz val="6"/>
        <color theme="1"/>
        <rFont val="Times New Roman"/>
        <family val="1"/>
      </rPr>
      <t>Tamper</t>
    </r>
  </si>
  <si>
    <r>
      <rPr>
        <sz val="6"/>
        <color theme="1"/>
        <rFont val="Times New Roman"/>
        <family val="1"/>
      </rPr>
      <t>Mini Excavator</t>
    </r>
  </si>
  <si>
    <r>
      <rPr>
        <sz val="6"/>
        <color theme="1"/>
        <rFont val="Times New Roman"/>
        <family val="1"/>
      </rPr>
      <t>Beton f'c 30 Mpa</t>
    </r>
  </si>
  <si>
    <r>
      <rPr>
        <sz val="6"/>
        <color theme="1"/>
        <rFont val="Times New Roman"/>
        <family val="1"/>
      </rPr>
      <t>unit</t>
    </r>
  </si>
  <si>
    <r>
      <rPr>
        <sz val="6"/>
        <color theme="1"/>
        <rFont val="Times New Roman"/>
        <family val="1"/>
      </rPr>
      <t>Pekerjaan Gorong-Gorong</t>
    </r>
  </si>
  <si>
    <r>
      <rPr>
        <sz val="6"/>
        <color theme="1"/>
        <rFont val="Times New Roman"/>
        <family val="1"/>
      </rPr>
      <t>Pipa Pralon Dia 2. Inch</t>
    </r>
  </si>
  <si>
    <r>
      <rPr>
        <sz val="6"/>
        <color theme="1"/>
        <rFont val="Times New Roman"/>
        <family val="1"/>
      </rPr>
      <t>Water Tanker</t>
    </r>
  </si>
  <si>
    <r>
      <rPr>
        <sz val="6"/>
        <color theme="1"/>
        <rFont val="Times New Roman"/>
        <family val="1"/>
      </rPr>
      <t>Tukang Ba</t>
    </r>
  </si>
  <si>
    <r>
      <rPr>
        <sz val="6"/>
        <color theme="1"/>
        <rFont val="Times New Roman"/>
        <family val="1"/>
      </rPr>
      <t>9FS</t>
    </r>
  </si>
  <si>
    <r>
      <rPr>
        <sz val="6"/>
        <color theme="1"/>
        <rFont val="Times New Roman"/>
        <family val="1"/>
      </rPr>
      <t>Concrete Mixer</t>
    </r>
  </si>
  <si>
    <r>
      <rPr>
        <sz val="6"/>
        <color theme="1"/>
        <rFont val="Times New Roman"/>
        <family val="1"/>
      </rPr>
      <t>Batu Kali</t>
    </r>
  </si>
  <si>
    <r>
      <rPr>
        <sz val="6"/>
        <color theme="1"/>
        <rFont val="Times New Roman"/>
        <family val="1"/>
      </rPr>
      <t>Pasangan Batu dengan Mortar</t>
    </r>
  </si>
  <si>
    <r>
      <rPr>
        <sz val="6"/>
        <color rgb="FF000000"/>
        <rFont val="Times New Roman"/>
        <family val="1"/>
      </rPr>
      <t>7FS</t>
    </r>
  </si>
  <si>
    <r>
      <rPr>
        <sz val="6"/>
        <color theme="1"/>
        <rFont val="Times New Roman"/>
        <family val="1"/>
      </rPr>
      <t>Galian untuk Drainase Selokan dan Saluran Air</t>
    </r>
  </si>
  <si>
    <r>
      <rPr>
        <b/>
        <sz val="6"/>
        <color theme="1"/>
        <rFont val="Times New Roman"/>
        <family val="1"/>
      </rPr>
      <t>DIV 2. PEKERJAAN DRAINASE</t>
    </r>
  </si>
  <si>
    <t>6SS</t>
  </si>
  <si>
    <r>
      <rPr>
        <sz val="6"/>
        <color theme="1"/>
        <rFont val="Times New Roman"/>
        <family val="1"/>
      </rPr>
      <t>Sondir</t>
    </r>
  </si>
  <si>
    <r>
      <rPr>
        <sz val="6"/>
        <color theme="1"/>
        <rFont val="Times New Roman"/>
        <family val="1"/>
      </rPr>
      <t>Sondir Termasuk Laporan</t>
    </r>
  </si>
  <si>
    <t>5SS</t>
  </si>
  <si>
    <r>
      <rPr>
        <sz val="6"/>
        <color theme="1"/>
        <rFont val="Times New Roman"/>
        <family val="1"/>
      </rPr>
      <t>Manajemen Mutu</t>
    </r>
  </si>
  <si>
    <t>4SS</t>
  </si>
  <si>
    <r>
      <rPr>
        <sz val="6"/>
        <color rgb="FF000000"/>
        <rFont val="Times New Roman"/>
        <family val="1"/>
      </rPr>
      <t xml:space="preserve">Manajemen dan Keselamatan Lalu
</t>
    </r>
    <r>
      <rPr>
        <sz val="6"/>
        <color rgb="FF000000"/>
        <rFont val="Times New Roman"/>
        <family val="1"/>
      </rPr>
      <t>Lintas</t>
    </r>
  </si>
  <si>
    <r>
      <rPr>
        <sz val="6"/>
        <color theme="1"/>
        <rFont val="Times New Roman"/>
        <family val="1"/>
      </rPr>
      <t>Manajemen dan Keselamatan Lalu Lintas</t>
    </r>
  </si>
  <si>
    <r>
      <rPr>
        <sz val="6"/>
        <color theme="1"/>
        <rFont val="Times New Roman"/>
        <family val="1"/>
      </rPr>
      <t>Track Loader</t>
    </r>
  </si>
  <si>
    <r>
      <rPr>
        <sz val="6"/>
        <color theme="1"/>
        <rFont val="Times New Roman"/>
        <family val="1"/>
      </rPr>
      <t>Bull Dozer</t>
    </r>
  </si>
  <si>
    <r>
      <rPr>
        <sz val="6"/>
        <color theme="1"/>
        <rFont val="Times New Roman"/>
        <family val="1"/>
      </rPr>
      <t>Mobilisasi</t>
    </r>
  </si>
  <si>
    <r>
      <rPr>
        <b/>
        <sz val="6"/>
        <color theme="1"/>
        <rFont val="Times New Roman"/>
        <family val="1"/>
      </rPr>
      <t>DIV 1. UMUM</t>
    </r>
  </si>
  <si>
    <r>
      <rPr>
        <b/>
        <sz val="6"/>
        <color theme="1"/>
        <rFont val="Times New Roman"/>
        <family val="1"/>
      </rPr>
      <t>Pembangunan Jalan Kabupaten</t>
    </r>
  </si>
  <si>
    <r>
      <rPr>
        <sz val="6"/>
        <color theme="1"/>
        <rFont val="Times New Roman"/>
        <family val="1"/>
      </rPr>
      <t>Predeccesor</t>
    </r>
  </si>
  <si>
    <t>SOAL GENAP JALAN KABUPATEN</t>
  </si>
  <si>
    <r>
      <rPr>
        <b/>
        <sz val="10"/>
        <color rgb="FF000000"/>
        <rFont val="Times New Roman"/>
        <family val="1"/>
      </rPr>
      <t xml:space="preserve">LINGKUP PROYEK
</t>
    </r>
    <r>
      <rPr>
        <sz val="10"/>
        <color rgb="FF000000"/>
        <rFont val="Times New Roman"/>
        <family val="1"/>
      </rPr>
      <t xml:space="preserve">1)   Umum
</t>
    </r>
    <r>
      <rPr>
        <sz val="10"/>
        <color rgb="FF000000"/>
        <rFont val="Times New Roman"/>
        <family val="1"/>
      </rPr>
      <t xml:space="preserve">2)   Pekerjaan Drainase
</t>
    </r>
    <r>
      <rPr>
        <sz val="10"/>
        <color rgb="FF000000"/>
        <rFont val="Times New Roman"/>
        <family val="1"/>
      </rPr>
      <t xml:space="preserve">3)   Pekerjaan Tanah
</t>
    </r>
    <r>
      <rPr>
        <sz val="10"/>
        <color rgb="FF000000"/>
        <rFont val="Times New Roman"/>
        <family val="1"/>
      </rPr>
      <t xml:space="preserve">4)   Pelebaran Perkerasan dan Bahu Jalan
</t>
    </r>
    <r>
      <rPr>
        <sz val="10"/>
        <color rgb="FF000000"/>
        <rFont val="Times New Roman"/>
        <family val="1"/>
      </rPr>
      <t xml:space="preserve">5)   Pekerjaan Struktur
</t>
    </r>
    <r>
      <rPr>
        <sz val="10"/>
        <color rgb="FF000000"/>
        <rFont val="Times New Roman"/>
        <family val="1"/>
      </rPr>
      <t xml:space="preserve">6)   Pekerjaan Aspal dan Bahu
</t>
    </r>
    <r>
      <rPr>
        <sz val="10"/>
        <color rgb="FF000000"/>
        <rFont val="Times New Roman"/>
        <family val="1"/>
      </rPr>
      <t xml:space="preserve">7)   Pengembalian Kondisi dan Pekerjaan Minor
</t>
    </r>
    <r>
      <rPr>
        <sz val="10"/>
        <color rgb="FF000000"/>
        <rFont val="Times New Roman"/>
        <family val="1"/>
      </rPr>
      <t>8)   Pekerjaan Pemeliharaan Rutin</t>
    </r>
  </si>
  <si>
    <r>
      <rPr>
        <b/>
        <sz val="10"/>
        <color rgb="FF000000"/>
        <rFont val="Times New Roman"/>
        <family val="1"/>
      </rPr>
      <t xml:space="preserve">DATA INFORMASI PROYEK
</t>
    </r>
    <r>
      <rPr>
        <sz val="10"/>
        <color rgb="FF000000"/>
        <rFont val="Times New Roman"/>
        <family val="1"/>
      </rPr>
      <t xml:space="preserve">Nama Proyek           : PROYEK PEMBANGUNAN JALAN KABUPATEN
</t>
    </r>
    <r>
      <rPr>
        <sz val="10"/>
        <color rgb="FF000000"/>
        <rFont val="Times New Roman"/>
        <family val="1"/>
      </rPr>
      <t xml:space="preserve">Lokasi Proyek          : Kota Malang, Jawa Timur Sifat Kontrak           : Lumpsum Fixed Price
</t>
    </r>
    <r>
      <rPr>
        <sz val="10"/>
        <color rgb="FF000000"/>
        <rFont val="Times New Roman"/>
        <family val="1"/>
      </rPr>
      <t xml:space="preserve">Sumber Dana           : APBN Tahun Anggaran 2025-2027 Owner                      : Universitas Muhammadiyah Yogyakarta’
</t>
    </r>
    <r>
      <rPr>
        <sz val="10"/>
        <color rgb="FF000000"/>
        <rFont val="Times New Roman"/>
        <family val="1"/>
      </rPr>
      <t xml:space="preserve">Kontraktor                : PT.UMY KARYA
</t>
    </r>
    <r>
      <rPr>
        <sz val="10"/>
        <color rgb="FF000000"/>
        <rFont val="Times New Roman"/>
        <family val="1"/>
      </rPr>
      <t xml:space="preserve">Konsultan                 : PT.Desain Rancang Bangun
</t>
    </r>
    <r>
      <rPr>
        <sz val="10"/>
        <color rgb="FF000000"/>
        <rFont val="Times New Roman"/>
        <family val="1"/>
      </rPr>
      <t>Panjang Jalan           : 2 Km</t>
    </r>
  </si>
  <si>
    <r>
      <rPr>
        <b/>
        <sz val="12"/>
        <color rgb="FF000000"/>
        <rFont val="Times New Roman"/>
        <family val="1"/>
      </rPr>
      <t xml:space="preserve">SOAL PRAKTIKUM MANAJEMEN KONSTRUKSI 2024/2025
</t>
    </r>
    <r>
      <rPr>
        <sz val="10"/>
        <color rgb="FF000000"/>
        <rFont val="Times New Roman"/>
        <family val="1"/>
      </rPr>
      <t>PROYEK PEMBANGUNAN JALAN KABUPATEN</t>
    </r>
  </si>
  <si>
    <t xml:space="preserve">Batching Plant </t>
  </si>
  <si>
    <t>E.32</t>
  </si>
  <si>
    <t>Truck Mixer</t>
  </si>
  <si>
    <t>E.31</t>
  </si>
  <si>
    <t>E.30</t>
  </si>
  <si>
    <t>jam</t>
  </si>
  <si>
    <t>Track Loader</t>
  </si>
  <si>
    <t>E.29</t>
  </si>
  <si>
    <t>Bull Dozer</t>
  </si>
  <si>
    <t>E.28</t>
  </si>
  <si>
    <t>Wheel Loader</t>
  </si>
  <si>
    <t>E.27</t>
  </si>
  <si>
    <t>Water Tanker</t>
  </si>
  <si>
    <t>E.26</t>
  </si>
  <si>
    <t>Water tank truck</t>
  </si>
  <si>
    <t>E.25</t>
  </si>
  <si>
    <t>Vibrator Roller</t>
  </si>
  <si>
    <t>E.24</t>
  </si>
  <si>
    <t>Uji Reflektifitas</t>
  </si>
  <si>
    <t>E.23</t>
  </si>
  <si>
    <t>E.22</t>
  </si>
  <si>
    <t>E.21</t>
  </si>
  <si>
    <t>Tandem / Vibro Roller</t>
  </si>
  <si>
    <t>E.20</t>
  </si>
  <si>
    <t>Tamper</t>
  </si>
  <si>
    <t>E.19</t>
  </si>
  <si>
    <t>Sheepfoot Roller</t>
  </si>
  <si>
    <t>E.18</t>
  </si>
  <si>
    <t>Power Broom</t>
  </si>
  <si>
    <t>E.17</t>
  </si>
  <si>
    <t>Motor Grader</t>
  </si>
  <si>
    <t>E.16</t>
  </si>
  <si>
    <t>Mini Excavator</t>
  </si>
  <si>
    <t>E.15</t>
  </si>
  <si>
    <t>Mesin Cat Marka Jalan Thermoplastic</t>
  </si>
  <si>
    <t>E.14</t>
  </si>
  <si>
    <t>Jack Hammer</t>
  </si>
  <si>
    <t>E.13</t>
  </si>
  <si>
    <t>Genset</t>
  </si>
  <si>
    <t>E.12</t>
  </si>
  <si>
    <t>Flat Bed Truck</t>
  </si>
  <si>
    <t>E.11</t>
  </si>
  <si>
    <t>E.10</t>
  </si>
  <si>
    <t>Dump Truck 10 Ton</t>
  </si>
  <si>
    <t>E.09</t>
  </si>
  <si>
    <t>E.08</t>
  </si>
  <si>
    <t>Crane on Track</t>
  </si>
  <si>
    <t>E.07</t>
  </si>
  <si>
    <t>E.06</t>
  </si>
  <si>
    <t>Baby Vibratory Roller</t>
  </si>
  <si>
    <t>E.05</t>
  </si>
  <si>
    <t>Asp. Finisher</t>
  </si>
  <si>
    <t>E.04</t>
  </si>
  <si>
    <t>Asp. Distributor</t>
  </si>
  <si>
    <t>E.03</t>
  </si>
  <si>
    <t>AMP</t>
  </si>
  <si>
    <t>E.02</t>
  </si>
  <si>
    <t>Air Compressor</t>
  </si>
  <si>
    <t>E.01</t>
  </si>
  <si>
    <t>III.</t>
  </si>
  <si>
    <t>Batang</t>
  </si>
  <si>
    <t>Pipa Galvanis Dia. 5"</t>
  </si>
  <si>
    <t>M.30</t>
  </si>
  <si>
    <t>bh</t>
  </si>
  <si>
    <t>Pelat Rambu</t>
  </si>
  <si>
    <t>M.29</t>
  </si>
  <si>
    <t>Glass Beads</t>
  </si>
  <si>
    <t>M.28</t>
  </si>
  <si>
    <t>Cat Marka</t>
  </si>
  <si>
    <t>M.27</t>
  </si>
  <si>
    <t>Cat</t>
  </si>
  <si>
    <t>M.26</t>
  </si>
  <si>
    <t>Timbunan Porus</t>
  </si>
  <si>
    <t>M.25</t>
  </si>
  <si>
    <t>Timbunan Pilihan</t>
  </si>
  <si>
    <t>M.24</t>
  </si>
  <si>
    <t>M'</t>
  </si>
  <si>
    <t>Tiang Baja Galvanize</t>
  </si>
  <si>
    <t>M.23</t>
  </si>
  <si>
    <t>M.22</t>
  </si>
  <si>
    <t>Pipa Pralon Dia 2 inch</t>
  </si>
  <si>
    <t>M.21</t>
  </si>
  <si>
    <t>M.20</t>
  </si>
  <si>
    <t>M.19</t>
  </si>
  <si>
    <t>Mortar</t>
  </si>
  <si>
    <t>M.18</t>
  </si>
  <si>
    <t>M.17</t>
  </si>
  <si>
    <t>Kayu</t>
  </si>
  <si>
    <t>M.16</t>
  </si>
  <si>
    <t>bh/M'</t>
  </si>
  <si>
    <t>Cetakan diameter 40 cm</t>
  </si>
  <si>
    <t>M.15</t>
  </si>
  <si>
    <t>Beton Fc 30 MPa</t>
  </si>
  <si>
    <t>M.14</t>
  </si>
  <si>
    <t>Beton Fc 25 Mpa</t>
  </si>
  <si>
    <t>M.13</t>
  </si>
  <si>
    <t>Beton Fc 20 Mpa</t>
  </si>
  <si>
    <t>M.12</t>
  </si>
  <si>
    <t>Batu Kali</t>
  </si>
  <si>
    <t>M.11</t>
  </si>
  <si>
    <t>Baja Tulangan</t>
  </si>
  <si>
    <t>M.10</t>
  </si>
  <si>
    <t>M.09</t>
  </si>
  <si>
    <t>M.08</t>
  </si>
  <si>
    <t>Aspal</t>
  </si>
  <si>
    <t>M.07</t>
  </si>
  <si>
    <t>M.06</t>
  </si>
  <si>
    <t>Agregat Kelas S</t>
  </si>
  <si>
    <t>M.05</t>
  </si>
  <si>
    <t>Agregat Kelas B</t>
  </si>
  <si>
    <t>M.04</t>
  </si>
  <si>
    <t>Agregat Kelas A</t>
  </si>
  <si>
    <t>M.03</t>
  </si>
  <si>
    <t>Agr. Pch Mesin 5-10 &amp; 10-20</t>
  </si>
  <si>
    <t>M.02</t>
  </si>
  <si>
    <t>Agr. Pch Mesin 0-5</t>
  </si>
  <si>
    <t>M.01</t>
  </si>
  <si>
    <r>
      <rPr>
        <b/>
        <sz val="12"/>
        <color theme="1"/>
        <rFont val="Times New Roman"/>
        <family val="1"/>
      </rPr>
      <t xml:space="preserve">HARGA SATUAN UPAH – BAHAN - ALAT
</t>
    </r>
    <r>
      <rPr>
        <sz val="12"/>
        <color theme="1"/>
        <rFont val="Times New Roman"/>
        <family val="1"/>
      </rPr>
      <t>Daerah            : Gunungkidul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</si>
</sst>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164" formatCode="0.0"/>
    <numFmt numFmtId="165" formatCode="_-[$Rp-421]* #,##0.00_-;\-[$Rp-421]* #,##0.00_-;_-[$Rp-421]* &quot;-&quot;??_-;_-@"/>
    <numFmt numFmtId="166" formatCode="&quot;Rp&quot;#,##0.00"/>
    <numFmt numFmtId="167" formatCode="_-[$Rp-3809]* #,##0.00_-;\-[$Rp-3809]* #,##0.00_-;_-[$Rp-3809]* &quot;-&quot;??_-;_-@_-"/>
    <numFmt numFmtId="168" formatCode="_-[$Rp-3809]* #,##0.00_-;\-[$Rp-3809]* #,##0.00_-;_-[$Rp-3809]* &quot;-&quot;??_-;_-@"/>
    <numFmt numFmtId="169" formatCode="0.0000"/>
  </numFmts>
  <fonts count="4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6"/>
      <color rgb="FF000000"/>
      <name val="Times New Roman"/>
      <family val="1"/>
    </font>
    <font>
      <sz val="6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rgb="FF000000"/>
      <name val="Times New Roman"/>
      <family val="1"/>
    </font>
    <font>
      <sz val="6"/>
      <color theme="1"/>
      <name val="Arial"/>
      <family val="2"/>
    </font>
    <font>
      <i/>
      <sz val="6"/>
      <color theme="1"/>
      <name val="Arial"/>
      <family val="2"/>
    </font>
    <font>
      <sz val="8"/>
      <color rgb="FF000000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Arial"/>
      <family val="2"/>
    </font>
    <font>
      <sz val="10"/>
      <color theme="1"/>
      <name val="Roboto"/>
    </font>
    <font>
      <b/>
      <sz val="10"/>
      <color theme="1"/>
      <name val="Roboto"/>
    </font>
    <font>
      <sz val="10"/>
      <color rgb="FF000000"/>
      <name val="Roboto"/>
    </font>
    <font>
      <b/>
      <sz val="10"/>
      <color rgb="FF000000"/>
      <name val="Roboto"/>
    </font>
    <font>
      <b/>
      <sz val="14"/>
      <color rgb="FF000000"/>
      <name val="Roboto"/>
    </font>
    <font>
      <b/>
      <sz val="25"/>
      <color theme="1"/>
      <name val="Times New Roman"/>
      <family val="1"/>
    </font>
    <font>
      <sz val="10"/>
      <color rgb="FFFF0000"/>
      <name val="Arial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Calibri"/>
      <family val="2"/>
    </font>
    <font>
      <b/>
      <sz val="11"/>
      <color theme="1"/>
      <name val="Times New Roman"/>
      <family val="1"/>
    </font>
    <font>
      <sz val="6"/>
      <color theme="1"/>
      <name val="Aptos Narrow"/>
      <family val="2"/>
      <scheme val="minor"/>
    </font>
    <font>
      <sz val="6"/>
      <name val="Aptos Narrow"/>
      <family val="2"/>
      <scheme val="minor"/>
    </font>
    <font>
      <sz val="6"/>
      <color rgb="FF000000"/>
      <name val="Aptos Narrow"/>
      <family val="2"/>
      <scheme val="minor"/>
    </font>
    <font>
      <b/>
      <sz val="6"/>
      <name val="Aptos Narrow"/>
      <family val="2"/>
      <scheme val="minor"/>
    </font>
    <font>
      <b/>
      <sz val="6"/>
      <color rgb="FF000000"/>
      <name val="Aptos Narrow"/>
      <family val="2"/>
      <scheme val="minor"/>
    </font>
    <font>
      <b/>
      <sz val="9.5"/>
      <name val="Aptos Narrow"/>
      <family val="2"/>
      <scheme val="minor"/>
    </font>
    <font>
      <sz val="10"/>
      <color rgb="FF000000"/>
      <name val="Times New Roman"/>
      <family val="1"/>
    </font>
    <font>
      <sz val="6"/>
      <color rgb="FF000000"/>
      <name val="Aptos Narrow"/>
      <family val="1"/>
      <scheme val="minor"/>
    </font>
    <font>
      <sz val="10"/>
      <name val="Times New Roman"/>
      <family val="1"/>
    </font>
    <font>
      <sz val="5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6"/>
      <color rgb="FF000000"/>
      <name val="Times New Roman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B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8EAADB"/>
        <bgColor rgb="FF8EAAD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1CDDB"/>
        <bgColor rgb="FF91CDDB"/>
      </patternFill>
    </fill>
    <fill>
      <patternFill patternType="solid">
        <fgColor rgb="FF00AFEF"/>
        <bgColor rgb="FF00AFEF"/>
      </patternFill>
    </fill>
    <fill>
      <patternFill patternType="solid">
        <fgColor rgb="FFBEBEBE"/>
        <bgColor rgb="FFBEBEBE"/>
      </patternFill>
    </fill>
  </fills>
  <borders count="8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18">
    <xf numFmtId="0" fontId="0" fillId="0" borderId="0" xfId="0"/>
    <xf numFmtId="0" fontId="1" fillId="0" borderId="0" xfId="1"/>
    <xf numFmtId="0" fontId="2" fillId="0" borderId="0" xfId="1" applyFont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horizontal="center" vertical="center" wrapText="1"/>
    </xf>
    <xf numFmtId="2" fontId="4" fillId="0" borderId="2" xfId="1" applyNumberFormat="1" applyFont="1" applyBorder="1" applyAlignment="1">
      <alignment horizontal="center" vertical="center" shrinkToFit="1"/>
    </xf>
    <xf numFmtId="0" fontId="5" fillId="0" borderId="2" xfId="1" applyFont="1" applyBorder="1" applyAlignment="1">
      <alignment horizontal="center" vertical="center" wrapText="1"/>
    </xf>
    <xf numFmtId="1" fontId="7" fillId="2" borderId="2" xfId="1" applyNumberFormat="1" applyFont="1" applyFill="1" applyBorder="1" applyAlignment="1">
      <alignment horizontal="center" vertical="center" shrinkToFit="1"/>
    </xf>
    <xf numFmtId="0" fontId="8" fillId="0" borderId="2" xfId="1" applyFont="1" applyBorder="1" applyAlignment="1">
      <alignment horizontal="center" vertical="center" wrapText="1"/>
    </xf>
    <xf numFmtId="0" fontId="4" fillId="0" borderId="0" xfId="1" applyFont="1"/>
    <xf numFmtId="1" fontId="5" fillId="0" borderId="2" xfId="1" applyNumberFormat="1" applyFont="1" applyBorder="1" applyAlignment="1">
      <alignment horizontal="center" vertical="center" shrinkToFit="1"/>
    </xf>
    <xf numFmtId="1" fontId="4" fillId="0" borderId="2" xfId="1" applyNumberFormat="1" applyFont="1" applyBorder="1" applyAlignment="1">
      <alignment horizontal="center" vertical="center" shrinkToFit="1"/>
    </xf>
    <xf numFmtId="0" fontId="9" fillId="0" borderId="2" xfId="1" applyFont="1" applyBorder="1" applyAlignment="1">
      <alignment horizontal="center" vertical="center" wrapText="1"/>
    </xf>
    <xf numFmtId="1" fontId="7" fillId="3" borderId="2" xfId="1" applyNumberFormat="1" applyFont="1" applyFill="1" applyBorder="1" applyAlignment="1">
      <alignment horizontal="center" vertical="center" shrinkToFit="1"/>
    </xf>
    <xf numFmtId="0" fontId="5" fillId="2" borderId="2" xfId="1" applyFont="1" applyFill="1" applyBorder="1" applyAlignment="1">
      <alignment horizontal="center" vertical="center" wrapText="1"/>
    </xf>
    <xf numFmtId="0" fontId="12" fillId="4" borderId="13" xfId="1" applyFont="1" applyFill="1" applyBorder="1"/>
    <xf numFmtId="165" fontId="2" fillId="0" borderId="0" xfId="1" applyNumberFormat="1" applyFont="1"/>
    <xf numFmtId="0" fontId="13" fillId="4" borderId="13" xfId="1" applyFont="1" applyFill="1" applyBorder="1" applyAlignment="1">
      <alignment horizontal="center"/>
    </xf>
    <xf numFmtId="0" fontId="13" fillId="5" borderId="13" xfId="1" applyFont="1" applyFill="1" applyBorder="1"/>
    <xf numFmtId="0" fontId="13" fillId="4" borderId="14" xfId="1" applyFont="1" applyFill="1" applyBorder="1" applyAlignment="1">
      <alignment horizontal="center"/>
    </xf>
    <xf numFmtId="0" fontId="2" fillId="4" borderId="13" xfId="1" applyFont="1" applyFill="1" applyBorder="1"/>
    <xf numFmtId="0" fontId="12" fillId="6" borderId="8" xfId="1" applyFont="1" applyFill="1" applyBorder="1"/>
    <xf numFmtId="0" fontId="14" fillId="6" borderId="1" xfId="1" applyFont="1" applyFill="1" applyBorder="1" applyAlignment="1">
      <alignment horizontal="center"/>
    </xf>
    <xf numFmtId="0" fontId="15" fillId="4" borderId="13" xfId="1" applyFont="1" applyFill="1" applyBorder="1" applyAlignment="1">
      <alignment horizontal="center"/>
    </xf>
    <xf numFmtId="0" fontId="15" fillId="5" borderId="13" xfId="1" applyFont="1" applyFill="1" applyBorder="1"/>
    <xf numFmtId="0" fontId="2" fillId="5" borderId="13" xfId="1" applyFont="1" applyFill="1" applyBorder="1"/>
    <xf numFmtId="0" fontId="15" fillId="4" borderId="14" xfId="1" applyFont="1" applyFill="1" applyBorder="1" applyAlignment="1">
      <alignment horizontal="center"/>
    </xf>
    <xf numFmtId="0" fontId="12" fillId="5" borderId="13" xfId="1" applyFont="1" applyFill="1" applyBorder="1"/>
    <xf numFmtId="0" fontId="14" fillId="4" borderId="2" xfId="1" applyFont="1" applyFill="1" applyBorder="1" applyAlignment="1">
      <alignment horizontal="center"/>
    </xf>
    <xf numFmtId="0" fontId="13" fillId="4" borderId="9" xfId="1" applyFont="1" applyFill="1" applyBorder="1" applyAlignment="1">
      <alignment horizontal="center"/>
    </xf>
    <xf numFmtId="0" fontId="13" fillId="5" borderId="9" xfId="1" applyFont="1" applyFill="1" applyBorder="1"/>
    <xf numFmtId="0" fontId="12" fillId="5" borderId="9" xfId="1" applyFont="1" applyFill="1" applyBorder="1"/>
    <xf numFmtId="0" fontId="13" fillId="4" borderId="3" xfId="1" applyFont="1" applyFill="1" applyBorder="1" applyAlignment="1">
      <alignment horizontal="center"/>
    </xf>
    <xf numFmtId="0" fontId="2" fillId="4" borderId="0" xfId="1" applyFont="1" applyFill="1"/>
    <xf numFmtId="166" fontId="15" fillId="4" borderId="0" xfId="1" applyNumberFormat="1" applyFont="1" applyFill="1" applyAlignment="1">
      <alignment horizontal="right"/>
    </xf>
    <xf numFmtId="0" fontId="15" fillId="4" borderId="0" xfId="1" applyFont="1" applyFill="1" applyAlignment="1">
      <alignment horizontal="center"/>
    </xf>
    <xf numFmtId="0" fontId="15" fillId="4" borderId="0" xfId="1" applyFont="1" applyFill="1"/>
    <xf numFmtId="0" fontId="15" fillId="4" borderId="13" xfId="1" applyFont="1" applyFill="1" applyBorder="1"/>
    <xf numFmtId="0" fontId="12" fillId="4" borderId="9" xfId="1" applyFont="1" applyFill="1" applyBorder="1"/>
    <xf numFmtId="0" fontId="15" fillId="4" borderId="9" xfId="1" applyFont="1" applyFill="1" applyBorder="1" applyAlignment="1">
      <alignment horizontal="center"/>
    </xf>
    <xf numFmtId="0" fontId="15" fillId="5" borderId="9" xfId="1" applyFont="1" applyFill="1" applyBorder="1"/>
    <xf numFmtId="0" fontId="2" fillId="4" borderId="9" xfId="1" applyFont="1" applyFill="1" applyBorder="1"/>
    <xf numFmtId="0" fontId="15" fillId="4" borderId="3" xfId="1" applyFont="1" applyFill="1" applyBorder="1" applyAlignment="1">
      <alignment horizontal="center"/>
    </xf>
    <xf numFmtId="0" fontId="15" fillId="5" borderId="0" xfId="1" applyFont="1" applyFill="1"/>
    <xf numFmtId="0" fontId="16" fillId="4" borderId="1" xfId="1" applyFont="1" applyFill="1" applyBorder="1" applyAlignment="1">
      <alignment horizontal="center"/>
    </xf>
    <xf numFmtId="0" fontId="16" fillId="6" borderId="1" xfId="1" applyFont="1" applyFill="1" applyBorder="1" applyAlignment="1">
      <alignment horizontal="center"/>
    </xf>
    <xf numFmtId="0" fontId="2" fillId="6" borderId="8" xfId="1" applyFont="1" applyFill="1" applyBorder="1"/>
    <xf numFmtId="0" fontId="2" fillId="6" borderId="12" xfId="1" applyFont="1" applyFill="1" applyBorder="1"/>
    <xf numFmtId="0" fontId="15" fillId="4" borderId="8" xfId="1" applyFont="1" applyFill="1" applyBorder="1" applyAlignment="1">
      <alignment horizontal="center"/>
    </xf>
    <xf numFmtId="0" fontId="2" fillId="4" borderId="8" xfId="1" applyFont="1" applyFill="1" applyBorder="1"/>
    <xf numFmtId="0" fontId="15" fillId="4" borderId="1" xfId="1" applyFont="1" applyFill="1" applyBorder="1" applyAlignment="1">
      <alignment horizontal="center"/>
    </xf>
    <xf numFmtId="0" fontId="16" fillId="6" borderId="8" xfId="1" applyFont="1" applyFill="1" applyBorder="1" applyAlignment="1">
      <alignment horizontal="center"/>
    </xf>
    <xf numFmtId="0" fontId="19" fillId="0" borderId="0" xfId="1" applyFont="1"/>
    <xf numFmtId="167" fontId="0" fillId="0" borderId="0" xfId="0" applyNumberFormat="1"/>
    <xf numFmtId="168" fontId="20" fillId="0" borderId="0" xfId="0" applyNumberFormat="1" applyFont="1"/>
    <xf numFmtId="168" fontId="21" fillId="0" borderId="15" xfId="0" applyNumberFormat="1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/>
    <xf numFmtId="0" fontId="21" fillId="0" borderId="18" xfId="0" applyFont="1" applyBorder="1" applyAlignment="1">
      <alignment horizontal="center" vertical="center"/>
    </xf>
    <xf numFmtId="168" fontId="21" fillId="0" borderId="19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/>
    <xf numFmtId="0" fontId="21" fillId="0" borderId="22" xfId="0" applyFont="1" applyBorder="1" applyAlignment="1">
      <alignment horizontal="center" vertical="center"/>
    </xf>
    <xf numFmtId="0" fontId="22" fillId="0" borderId="21" xfId="0" applyFont="1" applyBorder="1"/>
    <xf numFmtId="168" fontId="21" fillId="0" borderId="23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/>
    <xf numFmtId="0" fontId="21" fillId="0" borderId="26" xfId="0" applyFont="1" applyBorder="1" applyAlignment="1">
      <alignment horizontal="center" vertical="center"/>
    </xf>
    <xf numFmtId="0" fontId="24" fillId="7" borderId="30" xfId="0" applyFont="1" applyFill="1" applyBorder="1" applyAlignment="1">
      <alignment horizontal="center" vertical="center"/>
    </xf>
    <xf numFmtId="168" fontId="21" fillId="0" borderId="31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1" xfId="0" applyFont="1" applyBorder="1"/>
    <xf numFmtId="0" fontId="21" fillId="0" borderId="32" xfId="0" applyFont="1" applyBorder="1" applyAlignment="1">
      <alignment horizontal="center" vertical="center"/>
    </xf>
    <xf numFmtId="168" fontId="21" fillId="0" borderId="20" xfId="0" applyNumberFormat="1" applyFont="1" applyBorder="1" applyAlignment="1">
      <alignment horizontal="center" vertical="center"/>
    </xf>
    <xf numFmtId="0" fontId="21" fillId="0" borderId="20" xfId="0" applyFont="1" applyBorder="1"/>
    <xf numFmtId="0" fontId="21" fillId="0" borderId="33" xfId="0" applyFont="1" applyBorder="1" applyAlignment="1">
      <alignment horizontal="center" vertical="center"/>
    </xf>
    <xf numFmtId="0" fontId="22" fillId="0" borderId="20" xfId="0" applyFont="1" applyBorder="1"/>
    <xf numFmtId="168" fontId="21" fillId="0" borderId="34" xfId="0" applyNumberFormat="1" applyFont="1" applyBorder="1" applyAlignment="1">
      <alignment horizontal="center" vertical="center"/>
    </xf>
    <xf numFmtId="168" fontId="21" fillId="0" borderId="35" xfId="0" applyNumberFormat="1" applyFont="1" applyBorder="1" applyAlignment="1">
      <alignment horizontal="center" vertical="center"/>
    </xf>
    <xf numFmtId="168" fontId="21" fillId="0" borderId="36" xfId="0" applyNumberFormat="1" applyFont="1" applyBorder="1" applyAlignment="1">
      <alignment horizontal="center" vertical="center"/>
    </xf>
    <xf numFmtId="0" fontId="24" fillId="7" borderId="40" xfId="0" applyFont="1" applyFill="1" applyBorder="1" applyAlignment="1">
      <alignment horizontal="center" vertical="center"/>
    </xf>
    <xf numFmtId="0" fontId="21" fillId="0" borderId="41" xfId="0" applyFont="1" applyBorder="1"/>
    <xf numFmtId="0" fontId="21" fillId="0" borderId="42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44" xfId="0" applyFont="1" applyBorder="1"/>
    <xf numFmtId="0" fontId="21" fillId="0" borderId="45" xfId="0" applyFont="1" applyBorder="1" applyAlignment="1">
      <alignment horizontal="center" vertical="center"/>
    </xf>
    <xf numFmtId="0" fontId="21" fillId="0" borderId="46" xfId="0" applyFont="1" applyBorder="1"/>
    <xf numFmtId="0" fontId="21" fillId="0" borderId="47" xfId="0" applyFont="1" applyBorder="1" applyAlignment="1">
      <alignment horizontal="center" vertical="center"/>
    </xf>
    <xf numFmtId="0" fontId="24" fillId="7" borderId="48" xfId="0" applyFont="1" applyFill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168" fontId="21" fillId="0" borderId="45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45" xfId="0" applyFont="1" applyBorder="1"/>
    <xf numFmtId="0" fontId="24" fillId="7" borderId="39" xfId="0" applyFont="1" applyFill="1" applyBorder="1" applyAlignment="1">
      <alignment horizontal="center" vertical="center"/>
    </xf>
    <xf numFmtId="1" fontId="21" fillId="0" borderId="50" xfId="0" applyNumberFormat="1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/>
    </xf>
    <xf numFmtId="0" fontId="21" fillId="0" borderId="50" xfId="0" applyFont="1" applyBorder="1" applyAlignment="1">
      <alignment horizontal="center" vertical="center"/>
    </xf>
    <xf numFmtId="42" fontId="24" fillId="7" borderId="50" xfId="0" applyNumberFormat="1" applyFont="1" applyFill="1" applyBorder="1" applyAlignment="1">
      <alignment horizontal="center" vertical="center"/>
    </xf>
    <xf numFmtId="0" fontId="24" fillId="7" borderId="28" xfId="0" applyFont="1" applyFill="1" applyBorder="1" applyAlignment="1">
      <alignment horizontal="center" vertical="center"/>
    </xf>
    <xf numFmtId="0" fontId="24" fillId="7" borderId="50" xfId="0" applyFont="1" applyFill="1" applyBorder="1" applyAlignment="1">
      <alignment horizontal="center"/>
    </xf>
    <xf numFmtId="0" fontId="24" fillId="7" borderId="51" xfId="0" applyFont="1" applyFill="1" applyBorder="1" applyAlignment="1">
      <alignment horizontal="center" vertical="center"/>
    </xf>
    <xf numFmtId="2" fontId="0" fillId="0" borderId="0" xfId="0" applyNumberFormat="1"/>
    <xf numFmtId="0" fontId="25" fillId="0" borderId="15" xfId="0" applyFont="1" applyBorder="1" applyAlignment="1">
      <alignment horizontal="center" vertical="center"/>
    </xf>
    <xf numFmtId="2" fontId="25" fillId="0" borderId="52" xfId="0" applyNumberFormat="1" applyFont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26" fillId="0" borderId="52" xfId="0" applyFont="1" applyBorder="1" applyAlignment="1">
      <alignment horizontal="center" vertical="center" wrapText="1"/>
    </xf>
    <xf numFmtId="1" fontId="27" fillId="0" borderId="52" xfId="0" applyNumberFormat="1" applyFont="1" applyBorder="1" applyAlignment="1">
      <alignment horizontal="center" vertical="center" shrinkToFit="1"/>
    </xf>
    <xf numFmtId="2" fontId="27" fillId="0" borderId="52" xfId="0" applyNumberFormat="1" applyFont="1" applyBorder="1" applyAlignment="1">
      <alignment horizontal="center" vertical="center" shrinkToFit="1"/>
    </xf>
    <xf numFmtId="0" fontId="25" fillId="0" borderId="53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2" fontId="25" fillId="0" borderId="11" xfId="0" applyNumberFormat="1" applyFont="1" applyBorder="1" applyAlignment="1">
      <alignment horizontal="center" vertical="center"/>
    </xf>
    <xf numFmtId="0" fontId="26" fillId="0" borderId="11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2" fontId="27" fillId="0" borderId="4" xfId="0" applyNumberFormat="1" applyFont="1" applyBorder="1" applyAlignment="1">
      <alignment horizontal="center" vertical="center" shrinkToFit="1"/>
    </xf>
    <xf numFmtId="0" fontId="25" fillId="0" borderId="54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26" fillId="0" borderId="11" xfId="0" applyFont="1" applyBorder="1" applyAlignment="1">
      <alignment horizontal="center" vertical="center" wrapText="1"/>
    </xf>
    <xf numFmtId="1" fontId="27" fillId="0" borderId="11" xfId="0" applyNumberFormat="1" applyFont="1" applyBorder="1" applyAlignment="1">
      <alignment horizontal="center" vertical="center" shrinkToFit="1"/>
    </xf>
    <xf numFmtId="2" fontId="27" fillId="0" borderId="11" xfId="0" applyNumberFormat="1" applyFont="1" applyBorder="1" applyAlignment="1">
      <alignment horizontal="center" vertical="center" shrinkToFit="1"/>
    </xf>
    <xf numFmtId="0" fontId="25" fillId="0" borderId="55" xfId="0" applyFont="1" applyBorder="1" applyAlignment="1">
      <alignment horizontal="center" vertical="center"/>
    </xf>
    <xf numFmtId="2" fontId="25" fillId="0" borderId="56" xfId="0" applyNumberFormat="1" applyFont="1" applyBorder="1" applyAlignment="1">
      <alignment horizontal="center" vertical="center"/>
    </xf>
    <xf numFmtId="0" fontId="0" fillId="0" borderId="56" xfId="0" applyBorder="1" applyAlignment="1">
      <alignment vertical="center"/>
    </xf>
    <xf numFmtId="1" fontId="27" fillId="0" borderId="57" xfId="0" applyNumberFormat="1" applyFont="1" applyBorder="1" applyAlignment="1">
      <alignment horizontal="center" vertical="center" shrinkToFit="1"/>
    </xf>
    <xf numFmtId="0" fontId="26" fillId="0" borderId="10" xfId="0" applyFont="1" applyBorder="1" applyAlignment="1">
      <alignment horizontal="center" vertical="center" wrapText="1"/>
    </xf>
    <xf numFmtId="1" fontId="27" fillId="0" borderId="7" xfId="0" applyNumberFormat="1" applyFont="1" applyBorder="1" applyAlignment="1">
      <alignment horizontal="center" vertical="center" shrinkToFit="1"/>
    </xf>
    <xf numFmtId="0" fontId="26" fillId="0" borderId="2" xfId="0" applyFont="1" applyBorder="1" applyAlignment="1">
      <alignment horizontal="center" vertical="center" wrapText="1"/>
    </xf>
    <xf numFmtId="2" fontId="27" fillId="0" borderId="2" xfId="0" applyNumberFormat="1" applyFont="1" applyBorder="1" applyAlignment="1">
      <alignment horizontal="center" vertical="center" shrinkToFit="1"/>
    </xf>
    <xf numFmtId="0" fontId="26" fillId="0" borderId="5" xfId="0" applyFont="1" applyBorder="1" applyAlignment="1">
      <alignment horizontal="center" vertical="center" wrapText="1"/>
    </xf>
    <xf numFmtId="1" fontId="29" fillId="8" borderId="60" xfId="0" applyNumberFormat="1" applyFont="1" applyFill="1" applyBorder="1" applyAlignment="1">
      <alignment horizontal="center" vertical="center" shrinkToFit="1"/>
    </xf>
    <xf numFmtId="2" fontId="28" fillId="0" borderId="11" xfId="0" applyNumberFormat="1" applyFont="1" applyBorder="1" applyAlignment="1">
      <alignment horizontal="center" vertical="top" wrapText="1"/>
    </xf>
    <xf numFmtId="0" fontId="28" fillId="0" borderId="11" xfId="0" applyFont="1" applyBorder="1" applyAlignment="1">
      <alignment vertical="top" wrapText="1"/>
    </xf>
    <xf numFmtId="2" fontId="25" fillId="0" borderId="11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2" fontId="26" fillId="0" borderId="11" xfId="0" applyNumberFormat="1" applyFont="1" applyBorder="1" applyAlignment="1">
      <alignment horizontal="center" vertical="center" wrapText="1"/>
    </xf>
    <xf numFmtId="1" fontId="29" fillId="8" borderId="62" xfId="0" applyNumberFormat="1" applyFont="1" applyFill="1" applyBorder="1" applyAlignment="1">
      <alignment horizontal="center" vertical="center" shrinkToFit="1"/>
    </xf>
    <xf numFmtId="1" fontId="27" fillId="0" borderId="19" xfId="0" applyNumberFormat="1" applyFont="1" applyBorder="1" applyAlignment="1">
      <alignment horizontal="center" vertical="center" wrapText="1" shrinkToFit="1"/>
    </xf>
    <xf numFmtId="1" fontId="27" fillId="0" borderId="11" xfId="0" applyNumberFormat="1" applyFont="1" applyBorder="1" applyAlignment="1">
      <alignment horizontal="center" vertical="center" wrapText="1" shrinkToFit="1"/>
    </xf>
    <xf numFmtId="1" fontId="27" fillId="0" borderId="55" xfId="0" applyNumberFormat="1" applyFont="1" applyBorder="1" applyAlignment="1">
      <alignment horizontal="center" vertical="center" wrapText="1" shrinkToFit="1"/>
    </xf>
    <xf numFmtId="1" fontId="29" fillId="9" borderId="62" xfId="0" applyNumberFormat="1" applyFont="1" applyFill="1" applyBorder="1" applyAlignment="1">
      <alignment horizontal="center" vertical="center" shrinkToFit="1"/>
    </xf>
    <xf numFmtId="2" fontId="25" fillId="0" borderId="0" xfId="0" applyNumberFormat="1" applyFont="1" applyAlignment="1">
      <alignment horizontal="center" vertical="center"/>
    </xf>
    <xf numFmtId="0" fontId="26" fillId="0" borderId="19" xfId="0" applyFont="1" applyBorder="1" applyAlignment="1">
      <alignment horizontal="center" vertical="center" wrapText="1"/>
    </xf>
    <xf numFmtId="164" fontId="27" fillId="0" borderId="11" xfId="0" applyNumberFormat="1" applyFont="1" applyBorder="1" applyAlignment="1">
      <alignment horizontal="center" vertical="center" shrinkToFit="1"/>
    </xf>
    <xf numFmtId="1" fontId="27" fillId="0" borderId="55" xfId="0" applyNumberFormat="1" applyFont="1" applyBorder="1" applyAlignment="1">
      <alignment horizontal="center" vertical="center" shrinkToFit="1"/>
    </xf>
    <xf numFmtId="0" fontId="26" fillId="0" borderId="71" xfId="0" applyFont="1" applyBorder="1" applyAlignment="1">
      <alignment horizontal="center" vertical="center" wrapText="1"/>
    </xf>
    <xf numFmtId="2" fontId="25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" fontId="27" fillId="0" borderId="4" xfId="0" applyNumberFormat="1" applyFont="1" applyBorder="1" applyAlignment="1">
      <alignment horizontal="center" vertical="center" shrinkToFit="1"/>
    </xf>
    <xf numFmtId="1" fontId="27" fillId="0" borderId="72" xfId="0" applyNumberFormat="1" applyFont="1" applyBorder="1" applyAlignment="1">
      <alignment horizontal="center" vertical="center" shrinkToFit="1"/>
    </xf>
    <xf numFmtId="0" fontId="0" fillId="0" borderId="73" xfId="0" applyBorder="1" applyAlignment="1">
      <alignment horizontal="center" vertical="center" wrapText="1"/>
    </xf>
    <xf numFmtId="1" fontId="27" fillId="0" borderId="2" xfId="0" applyNumberFormat="1" applyFont="1" applyBorder="1" applyAlignment="1">
      <alignment horizontal="center" vertical="center" shrinkToFit="1"/>
    </xf>
    <xf numFmtId="1" fontId="27" fillId="0" borderId="74" xfId="0" applyNumberFormat="1" applyFont="1" applyBorder="1" applyAlignment="1">
      <alignment horizontal="center" vertical="center" shrinkToFit="1"/>
    </xf>
    <xf numFmtId="1" fontId="29" fillId="10" borderId="78" xfId="0" applyNumberFormat="1" applyFont="1" applyFill="1" applyBorder="1" applyAlignment="1">
      <alignment horizontal="center" vertical="center" shrinkToFit="1"/>
    </xf>
    <xf numFmtId="2" fontId="28" fillId="8" borderId="4" xfId="0" applyNumberFormat="1" applyFont="1" applyFill="1" applyBorder="1" applyAlignment="1">
      <alignment horizontal="center" vertical="center" wrapText="1"/>
    </xf>
    <xf numFmtId="0" fontId="28" fillId="8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5" fillId="0" borderId="0" xfId="0" applyFont="1" applyAlignment="1">
      <alignment horizontal="center" vertical="center"/>
    </xf>
    <xf numFmtId="2" fontId="4" fillId="0" borderId="2" xfId="1" applyNumberFormat="1" applyFont="1" applyBorder="1" applyAlignment="1">
      <alignment horizontal="center" vertical="top" shrinkToFit="1"/>
    </xf>
    <xf numFmtId="0" fontId="1" fillId="0" borderId="0" xfId="1" applyAlignment="1">
      <alignment horizontal="left" vertical="top"/>
    </xf>
    <xf numFmtId="0" fontId="5" fillId="0" borderId="11" xfId="1" applyFont="1" applyBorder="1" applyAlignment="1">
      <alignment horizontal="center" vertical="top" wrapText="1"/>
    </xf>
    <xf numFmtId="0" fontId="31" fillId="0" borderId="11" xfId="1" applyFont="1" applyBorder="1" applyAlignment="1">
      <alignment horizontal="left" vertical="top" wrapText="1"/>
    </xf>
    <xf numFmtId="1" fontId="4" fillId="0" borderId="11" xfId="1" applyNumberFormat="1" applyFont="1" applyBorder="1" applyAlignment="1">
      <alignment horizontal="right" vertical="top" shrinkToFit="1"/>
    </xf>
    <xf numFmtId="0" fontId="5" fillId="0" borderId="11" xfId="1" applyFont="1" applyBorder="1" applyAlignment="1">
      <alignment horizontal="left" vertical="center" wrapText="1"/>
    </xf>
    <xf numFmtId="1" fontId="4" fillId="0" borderId="11" xfId="1" applyNumberFormat="1" applyFont="1" applyBorder="1" applyAlignment="1">
      <alignment horizontal="center" vertical="top" shrinkToFit="1"/>
    </xf>
    <xf numFmtId="2" fontId="32" fillId="0" borderId="0" xfId="1" applyNumberFormat="1" applyFont="1" applyAlignment="1">
      <alignment horizontal="left" vertical="top"/>
    </xf>
    <xf numFmtId="2" fontId="4" fillId="0" borderId="2" xfId="1" applyNumberFormat="1" applyFont="1" applyBorder="1" applyAlignment="1">
      <alignment horizontal="right" vertical="top" shrinkToFit="1"/>
    </xf>
    <xf numFmtId="0" fontId="31" fillId="0" borderId="11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top" wrapText="1"/>
    </xf>
    <xf numFmtId="0" fontId="5" fillId="12" borderId="11" xfId="1" applyFont="1" applyFill="1" applyBorder="1" applyAlignment="1">
      <alignment horizontal="left" vertical="top" wrapText="1"/>
    </xf>
    <xf numFmtId="1" fontId="4" fillId="12" borderId="11" xfId="1" applyNumberFormat="1" applyFont="1" applyFill="1" applyBorder="1" applyAlignment="1">
      <alignment horizontal="center" vertical="top" shrinkToFit="1"/>
    </xf>
    <xf numFmtId="2" fontId="32" fillId="0" borderId="11" xfId="1" applyNumberFormat="1" applyFont="1" applyBorder="1" applyAlignment="1">
      <alignment horizontal="left" vertical="top"/>
    </xf>
    <xf numFmtId="0" fontId="31" fillId="0" borderId="2" xfId="1" applyFont="1" applyBorder="1" applyAlignment="1">
      <alignment horizontal="left" wrapText="1"/>
    </xf>
    <xf numFmtId="0" fontId="31" fillId="0" borderId="11" xfId="1" applyFont="1" applyBorder="1" applyAlignment="1">
      <alignment horizontal="left" wrapText="1"/>
    </xf>
    <xf numFmtId="169" fontId="4" fillId="0" borderId="2" xfId="1" applyNumberFormat="1" applyFont="1" applyBorder="1" applyAlignment="1">
      <alignment horizontal="right" vertical="top" shrinkToFit="1"/>
    </xf>
    <xf numFmtId="1" fontId="5" fillId="0" borderId="11" xfId="1" applyNumberFormat="1" applyFont="1" applyBorder="1" applyAlignment="1">
      <alignment horizontal="center" vertical="top" shrinkToFit="1"/>
    </xf>
    <xf numFmtId="0" fontId="6" fillId="12" borderId="11" xfId="1" applyFont="1" applyFill="1" applyBorder="1" applyAlignment="1">
      <alignment horizontal="left" vertical="top" wrapText="1"/>
    </xf>
    <xf numFmtId="1" fontId="7" fillId="12" borderId="11" xfId="1" applyNumberFormat="1" applyFont="1" applyFill="1" applyBorder="1" applyAlignment="1">
      <alignment horizontal="center" vertical="top" shrinkToFit="1"/>
    </xf>
    <xf numFmtId="0" fontId="34" fillId="0" borderId="0" xfId="1" applyFont="1" applyAlignment="1">
      <alignment horizontal="left" vertical="top"/>
    </xf>
    <xf numFmtId="169" fontId="31" fillId="0" borderId="11" xfId="1" applyNumberFormat="1" applyFont="1" applyBorder="1" applyAlignment="1">
      <alignment horizontal="left" wrapText="1"/>
    </xf>
    <xf numFmtId="0" fontId="6" fillId="13" borderId="11" xfId="1" applyFont="1" applyFill="1" applyBorder="1" applyAlignment="1">
      <alignment horizontal="left" vertical="top" wrapText="1"/>
    </xf>
    <xf numFmtId="1" fontId="4" fillId="13" borderId="11" xfId="1" applyNumberFormat="1" applyFont="1" applyFill="1" applyBorder="1" applyAlignment="1">
      <alignment horizontal="center" vertical="top" shrinkToFit="1"/>
    </xf>
    <xf numFmtId="0" fontId="5" fillId="12" borderId="11" xfId="1" applyFont="1" applyFill="1" applyBorder="1" applyAlignment="1">
      <alignment horizontal="left" vertical="center" wrapText="1"/>
    </xf>
    <xf numFmtId="0" fontId="5" fillId="12" borderId="11" xfId="1" applyFont="1" applyFill="1" applyBorder="1" applyAlignment="1">
      <alignment horizontal="right" vertical="top" wrapText="1"/>
    </xf>
    <xf numFmtId="0" fontId="5" fillId="12" borderId="11" xfId="1" applyFont="1" applyFill="1" applyBorder="1" applyAlignment="1">
      <alignment horizontal="center" vertical="top" wrapText="1"/>
    </xf>
    <xf numFmtId="0" fontId="31" fillId="0" borderId="0" xfId="1" applyFont="1" applyAlignment="1">
      <alignment horizontal="left" vertical="top"/>
    </xf>
    <xf numFmtId="0" fontId="37" fillId="0" borderId="0" xfId="1" applyFont="1" applyAlignment="1">
      <alignment horizontal="center" vertical="top"/>
    </xf>
    <xf numFmtId="165" fontId="37" fillId="0" borderId="2" xfId="1" applyNumberFormat="1" applyFont="1" applyBorder="1" applyAlignment="1">
      <alignment horizontal="center" wrapText="1"/>
    </xf>
    <xf numFmtId="0" fontId="38" fillId="0" borderId="2" xfId="1" applyFont="1" applyBorder="1" applyAlignment="1">
      <alignment horizontal="center" vertical="center" wrapText="1"/>
    </xf>
    <xf numFmtId="0" fontId="38" fillId="0" borderId="2" xfId="1" applyFont="1" applyBorder="1" applyAlignment="1">
      <alignment horizontal="center" vertical="top" wrapText="1"/>
    </xf>
    <xf numFmtId="1" fontId="37" fillId="0" borderId="2" xfId="1" applyNumberFormat="1" applyFont="1" applyBorder="1" applyAlignment="1">
      <alignment horizontal="center" vertical="center" shrinkToFit="1"/>
    </xf>
    <xf numFmtId="1" fontId="37" fillId="0" borderId="2" xfId="1" applyNumberFormat="1" applyFont="1" applyBorder="1" applyAlignment="1">
      <alignment horizontal="center" vertical="top" shrinkToFit="1"/>
    </xf>
    <xf numFmtId="0" fontId="38" fillId="0" borderId="83" xfId="1" applyFont="1" applyBorder="1" applyAlignment="1">
      <alignment horizontal="center" vertical="top" wrapText="1"/>
    </xf>
    <xf numFmtId="1" fontId="37" fillId="0" borderId="83" xfId="1" applyNumberFormat="1" applyFont="1" applyBorder="1" applyAlignment="1">
      <alignment horizontal="center" vertical="top" shrinkToFit="1"/>
    </xf>
    <xf numFmtId="0" fontId="39" fillId="14" borderId="5" xfId="1" applyFont="1" applyFill="1" applyBorder="1" applyAlignment="1">
      <alignment horizontal="left" vertical="top" wrapText="1"/>
    </xf>
    <xf numFmtId="0" fontId="39" fillId="14" borderId="6" xfId="1" applyFont="1" applyFill="1" applyBorder="1" applyAlignment="1">
      <alignment horizontal="left" vertical="top" wrapText="1"/>
    </xf>
    <xf numFmtId="0" fontId="39" fillId="14" borderId="7" xfId="1" applyFont="1" applyFill="1" applyBorder="1" applyAlignment="1">
      <alignment horizontal="left" vertical="top" wrapText="1"/>
    </xf>
    <xf numFmtId="0" fontId="39" fillId="14" borderId="2" xfId="1" applyFont="1" applyFill="1" applyBorder="1" applyAlignment="1">
      <alignment horizontal="center" vertical="top" wrapText="1"/>
    </xf>
    <xf numFmtId="166" fontId="38" fillId="0" borderId="0" xfId="1" applyNumberFormat="1" applyFont="1" applyAlignment="1">
      <alignment horizontal="center" vertical="top" wrapText="1"/>
    </xf>
    <xf numFmtId="0" fontId="39" fillId="14" borderId="9" xfId="1" applyFont="1" applyFill="1" applyBorder="1" applyAlignment="1">
      <alignment horizontal="left" vertical="top" wrapText="1"/>
    </xf>
    <xf numFmtId="0" fontId="39" fillId="14" borderId="0" xfId="1" applyFont="1" applyFill="1" applyAlignment="1">
      <alignment horizontal="left" vertical="top" wrapText="1"/>
    </xf>
    <xf numFmtId="0" fontId="39" fillId="14" borderId="84" xfId="1" applyFont="1" applyFill="1" applyBorder="1" applyAlignment="1">
      <alignment horizontal="left" vertical="top" wrapText="1"/>
    </xf>
    <xf numFmtId="0" fontId="37" fillId="14" borderId="2" xfId="1" applyFont="1" applyFill="1" applyBorder="1" applyAlignment="1">
      <alignment horizontal="center" wrapText="1"/>
    </xf>
    <xf numFmtId="0" fontId="37" fillId="0" borderId="2" xfId="1" applyFont="1" applyBorder="1" applyAlignment="1">
      <alignment horizontal="center" wrapText="1"/>
    </xf>
    <xf numFmtId="0" fontId="39" fillId="14" borderId="2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1" fillId="0" borderId="0" xfId="1" applyBorder="1"/>
    <xf numFmtId="2" fontId="4" fillId="0" borderId="0" xfId="1" applyNumberFormat="1" applyFont="1" applyBorder="1" applyAlignment="1">
      <alignment horizontal="center" vertical="center" shrinkToFit="1"/>
    </xf>
    <xf numFmtId="0" fontId="4" fillId="0" borderId="0" xfId="1" applyFont="1" applyBorder="1"/>
    <xf numFmtId="0" fontId="2" fillId="0" borderId="0" xfId="1" applyFont="1" applyBorder="1" applyAlignment="1">
      <alignment horizontal="center" vertical="center" wrapText="1"/>
    </xf>
    <xf numFmtId="0" fontId="14" fillId="4" borderId="7" xfId="1" applyFont="1" applyFill="1" applyBorder="1"/>
    <xf numFmtId="0" fontId="3" fillId="0" borderId="6" xfId="1" applyFont="1" applyBorder="1"/>
    <xf numFmtId="0" fontId="3" fillId="0" borderId="5" xfId="1" applyFont="1" applyBorder="1"/>
    <xf numFmtId="0" fontId="14" fillId="5" borderId="7" xfId="1" applyFont="1" applyFill="1" applyBorder="1"/>
    <xf numFmtId="0" fontId="14" fillId="6" borderId="6" xfId="1" applyFont="1" applyFill="1" applyBorder="1"/>
    <xf numFmtId="0" fontId="18" fillId="0" borderId="0" xfId="1" applyFont="1" applyAlignment="1">
      <alignment horizontal="center"/>
    </xf>
    <xf numFmtId="0" fontId="1" fillId="0" borderId="0" xfId="1"/>
    <xf numFmtId="0" fontId="17" fillId="4" borderId="0" xfId="1" applyFont="1" applyFill="1" applyAlignment="1">
      <alignment horizontal="center"/>
    </xf>
    <xf numFmtId="0" fontId="3" fillId="0" borderId="0" xfId="1" applyFont="1"/>
    <xf numFmtId="0" fontId="16" fillId="6" borderId="6" xfId="1" applyFont="1" applyFill="1" applyBorder="1"/>
    <xf numFmtId="0" fontId="16" fillId="4" borderId="6" xfId="1" applyFont="1" applyFill="1" applyBorder="1"/>
    <xf numFmtId="0" fontId="5" fillId="0" borderId="4" xfId="1" applyFont="1" applyBorder="1" applyAlignment="1">
      <alignment horizontal="center" vertical="center" wrapText="1"/>
    </xf>
    <xf numFmtId="0" fontId="3" fillId="0" borderId="3" xfId="1" applyFont="1" applyBorder="1"/>
    <xf numFmtId="0" fontId="3" fillId="0" borderId="1" xfId="1" applyFont="1" applyBorder="1"/>
    <xf numFmtId="0" fontId="6" fillId="2" borderId="7" xfId="1" applyFont="1" applyFill="1" applyBorder="1" applyAlignment="1">
      <alignment horizontal="left" vertical="center" wrapText="1"/>
    </xf>
    <xf numFmtId="2" fontId="4" fillId="0" borderId="4" xfId="1" applyNumberFormat="1" applyFont="1" applyBorder="1" applyAlignment="1">
      <alignment horizontal="center" vertical="center" shrinkToFit="1"/>
    </xf>
    <xf numFmtId="1" fontId="4" fillId="0" borderId="4" xfId="1" applyNumberFormat="1" applyFont="1" applyBorder="1" applyAlignment="1">
      <alignment horizontal="center" vertical="center" shrinkToFi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11" fillId="3" borderId="12" xfId="1" applyFont="1" applyFill="1" applyBorder="1" applyAlignment="1">
      <alignment horizontal="center" vertical="top" wrapText="1"/>
    </xf>
    <xf numFmtId="0" fontId="3" fillId="0" borderId="12" xfId="1" applyFont="1" applyBorder="1"/>
    <xf numFmtId="164" fontId="4" fillId="0" borderId="4" xfId="1" applyNumberFormat="1" applyFont="1" applyBorder="1" applyAlignment="1">
      <alignment horizontal="center" vertical="center" shrinkToFit="1"/>
    </xf>
    <xf numFmtId="0" fontId="6" fillId="3" borderId="7" xfId="1" applyFont="1" applyFill="1" applyBorder="1" applyAlignment="1">
      <alignment horizontal="left" vertical="center" wrapText="1"/>
    </xf>
    <xf numFmtId="1" fontId="5" fillId="0" borderId="4" xfId="1" applyNumberFormat="1" applyFont="1" applyBorder="1" applyAlignment="1">
      <alignment horizontal="center" vertical="center" shrinkToFit="1"/>
    </xf>
    <xf numFmtId="164" fontId="10" fillId="0" borderId="4" xfId="1" applyNumberFormat="1" applyFont="1" applyBorder="1" applyAlignment="1">
      <alignment horizontal="center" vertical="center" shrinkToFit="1"/>
    </xf>
    <xf numFmtId="1" fontId="4" fillId="0" borderId="3" xfId="1" applyNumberFormat="1" applyFont="1" applyBorder="1" applyAlignment="1">
      <alignment horizontal="center" vertical="center" shrinkToFit="1"/>
    </xf>
    <xf numFmtId="0" fontId="5" fillId="0" borderId="10" xfId="1" applyFont="1" applyBorder="1" applyAlignment="1">
      <alignment horizontal="center" vertical="center" wrapText="1"/>
    </xf>
    <xf numFmtId="0" fontId="3" fillId="0" borderId="9" xfId="1" applyFont="1" applyBorder="1"/>
    <xf numFmtId="0" fontId="3" fillId="0" borderId="8" xfId="1" applyFont="1" applyBorder="1"/>
    <xf numFmtId="0" fontId="5" fillId="0" borderId="4" xfId="1" applyFont="1" applyBorder="1" applyAlignment="1">
      <alignment horizontal="center" wrapText="1"/>
    </xf>
    <xf numFmtId="0" fontId="30" fillId="11" borderId="82" xfId="0" applyFont="1" applyFill="1" applyBorder="1" applyAlignment="1">
      <alignment horizontal="center" vertical="top" wrapText="1"/>
    </xf>
    <xf numFmtId="0" fontId="30" fillId="11" borderId="81" xfId="0" applyFont="1" applyFill="1" applyBorder="1" applyAlignment="1">
      <alignment horizontal="center" vertical="top" wrapText="1"/>
    </xf>
    <xf numFmtId="0" fontId="30" fillId="11" borderId="80" xfId="0" applyFont="1" applyFill="1" applyBorder="1" applyAlignment="1">
      <alignment horizontal="center" vertical="top" wrapText="1"/>
    </xf>
    <xf numFmtId="0" fontId="28" fillId="8" borderId="60" xfId="0" applyFont="1" applyFill="1" applyBorder="1" applyAlignment="1">
      <alignment horizontal="center" vertical="center" wrapText="1"/>
    </xf>
    <xf numFmtId="0" fontId="28" fillId="8" borderId="3" xfId="0" applyFont="1" applyFill="1" applyBorder="1" applyAlignment="1">
      <alignment horizontal="center" vertical="center" wrapText="1"/>
    </xf>
    <xf numFmtId="0" fontId="28" fillId="8" borderId="59" xfId="0" applyFont="1" applyFill="1" applyBorder="1" applyAlignment="1">
      <alignment horizontal="center" vertical="center" wrapText="1"/>
    </xf>
    <xf numFmtId="0" fontId="28" fillId="8" borderId="12" xfId="0" applyFont="1" applyFill="1" applyBorder="1" applyAlignment="1">
      <alignment horizontal="center" vertical="center" wrapText="1"/>
    </xf>
    <xf numFmtId="0" fontId="28" fillId="8" borderId="8" xfId="0" applyFont="1" applyFill="1" applyBorder="1" applyAlignment="1">
      <alignment horizontal="center" vertical="center" wrapText="1"/>
    </xf>
    <xf numFmtId="0" fontId="28" fillId="8" borderId="79" xfId="0" applyFont="1" applyFill="1" applyBorder="1" applyAlignment="1">
      <alignment horizontal="center" vertical="center" wrapText="1"/>
    </xf>
    <xf numFmtId="0" fontId="28" fillId="8" borderId="7" xfId="0" applyFont="1" applyFill="1" applyBorder="1" applyAlignment="1">
      <alignment horizontal="center" vertical="center" wrapText="1"/>
    </xf>
    <xf numFmtId="0" fontId="28" fillId="8" borderId="5" xfId="0" applyFont="1" applyFill="1" applyBorder="1" applyAlignment="1">
      <alignment horizontal="center" vertical="center" wrapText="1"/>
    </xf>
    <xf numFmtId="0" fontId="28" fillId="10" borderId="77" xfId="0" applyFont="1" applyFill="1" applyBorder="1" applyAlignment="1">
      <alignment horizontal="left" vertical="center" wrapText="1"/>
    </xf>
    <xf numFmtId="0" fontId="28" fillId="10" borderId="76" xfId="0" applyFont="1" applyFill="1" applyBorder="1" applyAlignment="1">
      <alignment horizontal="left" vertical="center" wrapText="1"/>
    </xf>
    <xf numFmtId="0" fontId="28" fillId="10" borderId="75" xfId="0" applyFont="1" applyFill="1" applyBorder="1" applyAlignment="1">
      <alignment horizontal="left" vertical="center" wrapText="1"/>
    </xf>
    <xf numFmtId="0" fontId="28" fillId="8" borderId="59" xfId="0" applyFont="1" applyFill="1" applyBorder="1" applyAlignment="1">
      <alignment horizontal="left" vertical="center" wrapText="1"/>
    </xf>
    <xf numFmtId="0" fontId="28" fillId="8" borderId="12" xfId="0" applyFont="1" applyFill="1" applyBorder="1" applyAlignment="1">
      <alignment horizontal="left" vertical="center" wrapText="1"/>
    </xf>
    <xf numFmtId="0" fontId="28" fillId="8" borderId="61" xfId="0" applyFont="1" applyFill="1" applyBorder="1" applyAlignment="1">
      <alignment horizontal="left" vertical="center" wrapText="1"/>
    </xf>
    <xf numFmtId="1" fontId="27" fillId="0" borderId="54" xfId="0" applyNumberFormat="1" applyFont="1" applyBorder="1" applyAlignment="1">
      <alignment horizontal="center" vertical="center" shrinkToFit="1"/>
    </xf>
    <xf numFmtId="1" fontId="27" fillId="0" borderId="64" xfId="0" applyNumberFormat="1" applyFont="1" applyBorder="1" applyAlignment="1">
      <alignment horizontal="center" vertical="center" shrinkToFit="1"/>
    </xf>
    <xf numFmtId="1" fontId="27" fillId="0" borderId="63" xfId="0" applyNumberFormat="1" applyFont="1" applyBorder="1" applyAlignment="1">
      <alignment horizontal="center" vertical="center" shrinkToFit="1"/>
    </xf>
    <xf numFmtId="0" fontId="26" fillId="0" borderId="11" xfId="0" applyFont="1" applyBorder="1" applyAlignment="1">
      <alignment horizontal="center" vertical="center" wrapText="1"/>
    </xf>
    <xf numFmtId="2" fontId="27" fillId="0" borderId="56" xfId="0" applyNumberFormat="1" applyFont="1" applyBorder="1" applyAlignment="1">
      <alignment horizontal="center" vertical="center" shrinkToFit="1"/>
    </xf>
    <xf numFmtId="2" fontId="27" fillId="0" borderId="69" xfId="0" applyNumberFormat="1" applyFont="1" applyBorder="1" applyAlignment="1">
      <alignment horizontal="center" vertical="center" shrinkToFit="1"/>
    </xf>
    <xf numFmtId="2" fontId="27" fillId="0" borderId="65" xfId="0" applyNumberFormat="1" applyFont="1" applyBorder="1" applyAlignment="1">
      <alignment horizontal="center" vertical="center" shrinkToFit="1"/>
    </xf>
    <xf numFmtId="0" fontId="26" fillId="0" borderId="56" xfId="0" applyFont="1" applyBorder="1" applyAlignment="1">
      <alignment horizontal="center" vertical="center" wrapText="1"/>
    </xf>
    <xf numFmtId="0" fontId="26" fillId="0" borderId="69" xfId="0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1" fontId="27" fillId="0" borderId="56" xfId="0" applyNumberFormat="1" applyFont="1" applyBorder="1" applyAlignment="1">
      <alignment horizontal="center" vertical="center" shrinkToFit="1"/>
    </xf>
    <xf numFmtId="1" fontId="27" fillId="0" borderId="69" xfId="0" applyNumberFormat="1" applyFont="1" applyBorder="1" applyAlignment="1">
      <alignment horizontal="center" vertical="center" shrinkToFit="1"/>
    </xf>
    <xf numFmtId="1" fontId="27" fillId="0" borderId="65" xfId="0" applyNumberFormat="1" applyFont="1" applyBorder="1" applyAlignment="1">
      <alignment horizontal="center" vertical="center" shrinkToFit="1"/>
    </xf>
    <xf numFmtId="0" fontId="26" fillId="0" borderId="19" xfId="0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27" fillId="0" borderId="56" xfId="0" applyNumberFormat="1" applyFont="1" applyBorder="1" applyAlignment="1">
      <alignment horizontal="center" vertical="center" shrinkToFit="1"/>
    </xf>
    <xf numFmtId="164" fontId="27" fillId="0" borderId="69" xfId="0" applyNumberFormat="1" applyFont="1" applyBorder="1" applyAlignment="1">
      <alignment horizontal="center" vertical="center" shrinkToFit="1"/>
    </xf>
    <xf numFmtId="164" fontId="27" fillId="0" borderId="65" xfId="0" applyNumberFormat="1" applyFont="1" applyBorder="1" applyAlignment="1">
      <alignment horizontal="center" vertical="center" shrinkToFit="1"/>
    </xf>
    <xf numFmtId="0" fontId="26" fillId="0" borderId="70" xfId="0" applyFont="1" applyBorder="1" applyAlignment="1">
      <alignment horizontal="center" vertical="center" wrapText="1"/>
    </xf>
    <xf numFmtId="0" fontId="26" fillId="0" borderId="68" xfId="0" applyFont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1" fontId="27" fillId="0" borderId="55" xfId="0" applyNumberFormat="1" applyFont="1" applyBorder="1" applyAlignment="1">
      <alignment horizontal="center" vertical="center" shrinkToFit="1"/>
    </xf>
    <xf numFmtId="1" fontId="27" fillId="0" borderId="11" xfId="0" applyNumberFormat="1" applyFont="1" applyBorder="1" applyAlignment="1">
      <alignment horizontal="center" vertical="center" shrinkToFit="1"/>
    </xf>
    <xf numFmtId="2" fontId="27" fillId="0" borderId="11" xfId="0" applyNumberFormat="1" applyFont="1" applyBorder="1" applyAlignment="1">
      <alignment horizontal="center" vertical="center" shrinkToFit="1"/>
    </xf>
    <xf numFmtId="1" fontId="27" fillId="0" borderId="19" xfId="0" applyNumberFormat="1" applyFont="1" applyBorder="1" applyAlignment="1">
      <alignment horizontal="center" vertical="center" shrinkToFit="1"/>
    </xf>
    <xf numFmtId="1" fontId="26" fillId="0" borderId="11" xfId="0" applyNumberFormat="1" applyFont="1" applyBorder="1" applyAlignment="1">
      <alignment horizontal="center" vertical="center" wrapText="1"/>
    </xf>
    <xf numFmtId="2" fontId="26" fillId="0" borderId="11" xfId="0" applyNumberFormat="1" applyFont="1" applyBorder="1" applyAlignment="1">
      <alignment horizontal="center" vertical="center" wrapText="1"/>
    </xf>
    <xf numFmtId="1" fontId="27" fillId="0" borderId="70" xfId="0" applyNumberFormat="1" applyFont="1" applyBorder="1" applyAlignment="1">
      <alignment horizontal="center" vertical="center" shrinkToFit="1"/>
    </xf>
    <xf numFmtId="1" fontId="27" fillId="0" borderId="68" xfId="0" applyNumberFormat="1" applyFont="1" applyBorder="1" applyAlignment="1">
      <alignment horizontal="center" vertical="center" shrinkToFit="1"/>
    </xf>
    <xf numFmtId="1" fontId="27" fillId="0" borderId="67" xfId="0" applyNumberFormat="1" applyFont="1" applyBorder="1" applyAlignment="1">
      <alignment horizontal="center" vertical="center" shrinkToFit="1"/>
    </xf>
    <xf numFmtId="0" fontId="28" fillId="9" borderId="59" xfId="0" applyFont="1" applyFill="1" applyBorder="1" applyAlignment="1">
      <alignment horizontal="left" vertical="center" wrapText="1"/>
    </xf>
    <xf numFmtId="0" fontId="28" fillId="9" borderId="12" xfId="0" applyFont="1" applyFill="1" applyBorder="1" applyAlignment="1">
      <alignment horizontal="left" vertical="center" wrapText="1"/>
    </xf>
    <xf numFmtId="0" fontId="28" fillId="9" borderId="61" xfId="0" applyFont="1" applyFill="1" applyBorder="1" applyAlignment="1">
      <alignment horizontal="left" vertical="center" wrapText="1"/>
    </xf>
    <xf numFmtId="0" fontId="26" fillId="0" borderId="66" xfId="0" applyFont="1" applyBorder="1" applyAlignment="1">
      <alignment horizontal="center" vertical="center" wrapText="1"/>
    </xf>
    <xf numFmtId="164" fontId="27" fillId="0" borderId="11" xfId="0" applyNumberFormat="1" applyFont="1" applyBorder="1" applyAlignment="1">
      <alignment horizontal="center" vertical="center" shrinkToFit="1"/>
    </xf>
    <xf numFmtId="0" fontId="28" fillId="8" borderId="0" xfId="0" applyFont="1" applyFill="1" applyAlignment="1">
      <alignment horizontal="left" vertical="center" wrapText="1"/>
    </xf>
    <xf numFmtId="0" fontId="28" fillId="8" borderId="58" xfId="0" applyFont="1" applyFill="1" applyBorder="1" applyAlignment="1">
      <alignment horizontal="left" vertical="center" wrapText="1"/>
    </xf>
    <xf numFmtId="0" fontId="24" fillId="7" borderId="39" xfId="0" applyFont="1" applyFill="1" applyBorder="1" applyAlignment="1">
      <alignment horizontal="left"/>
    </xf>
    <xf numFmtId="0" fontId="23" fillId="0" borderId="38" xfId="0" applyFont="1" applyBorder="1"/>
    <xf numFmtId="0" fontId="23" fillId="0" borderId="37" xfId="0" applyFont="1" applyBorder="1"/>
    <xf numFmtId="0" fontId="24" fillId="7" borderId="29" xfId="0" applyFont="1" applyFill="1" applyBorder="1" applyAlignment="1">
      <alignment horizontal="left"/>
    </xf>
    <xf numFmtId="0" fontId="23" fillId="0" borderId="28" xfId="0" applyFont="1" applyBorder="1"/>
    <xf numFmtId="0" fontId="23" fillId="0" borderId="27" xfId="0" applyFont="1" applyBorder="1"/>
    <xf numFmtId="0" fontId="31" fillId="0" borderId="0" xfId="1" applyFont="1" applyAlignment="1">
      <alignment horizontal="center" vertical="top" wrapText="1"/>
    </xf>
    <xf numFmtId="0" fontId="1" fillId="0" borderId="0" xfId="1" applyAlignment="1">
      <alignment horizontal="left" vertical="top"/>
    </xf>
    <xf numFmtId="0" fontId="31" fillId="0" borderId="0" xfId="1" applyFont="1" applyAlignment="1">
      <alignment horizontal="left" vertical="top" wrapText="1"/>
    </xf>
    <xf numFmtId="1" fontId="4" fillId="0" borderId="11" xfId="1" applyNumberFormat="1" applyFont="1" applyBorder="1" applyAlignment="1">
      <alignment horizontal="center" vertical="center" shrinkToFit="1"/>
    </xf>
    <xf numFmtId="0" fontId="33" fillId="0" borderId="11" xfId="1" applyFont="1" applyBorder="1" applyAlignment="1">
      <alignment horizontal="left" vertical="top"/>
    </xf>
    <xf numFmtId="0" fontId="5" fillId="0" borderId="11" xfId="1" applyFont="1" applyBorder="1" applyAlignment="1">
      <alignment horizontal="center" vertical="center" wrapText="1"/>
    </xf>
    <xf numFmtId="0" fontId="6" fillId="13" borderId="11" xfId="1" applyFont="1" applyFill="1" applyBorder="1" applyAlignment="1">
      <alignment horizontal="center" vertical="top" wrapText="1"/>
    </xf>
    <xf numFmtId="1" fontId="5" fillId="0" borderId="11" xfId="1" applyNumberFormat="1" applyFont="1" applyBorder="1" applyAlignment="1">
      <alignment horizontal="center" vertical="center" shrinkToFit="1"/>
    </xf>
    <xf numFmtId="0" fontId="31" fillId="0" borderId="11" xfId="1" applyFont="1" applyBorder="1" applyAlignment="1">
      <alignment horizontal="center" vertical="center" wrapText="1"/>
    </xf>
    <xf numFmtId="1" fontId="4" fillId="0" borderId="11" xfId="1" applyNumberFormat="1" applyFont="1" applyBorder="1" applyAlignment="1">
      <alignment horizontal="center" vertical="top" shrinkToFit="1"/>
    </xf>
    <xf numFmtId="1" fontId="5" fillId="0" borderId="11" xfId="1" applyNumberFormat="1" applyFont="1" applyBorder="1" applyAlignment="1">
      <alignment horizontal="center" vertical="top" shrinkToFit="1"/>
    </xf>
    <xf numFmtId="0" fontId="38" fillId="0" borderId="0" xfId="1" applyFont="1" applyAlignment="1">
      <alignment horizontal="center" vertical="top" wrapText="1"/>
    </xf>
    <xf numFmtId="2" fontId="40" fillId="0" borderId="2" xfId="0" applyNumberFormat="1" applyFont="1" applyBorder="1" applyAlignment="1">
      <alignment horizontal="center" vertical="center" shrinkToFit="1"/>
    </xf>
  </cellXfs>
  <cellStyles count="2">
    <cellStyle name="Normal" xfId="0" builtinId="0"/>
    <cellStyle name="Normal 2" xfId="1" xr:uid="{8241F6B1-834B-4619-92DA-3EC51CD88D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200025</xdr:colOff>
      <xdr:row>2</xdr:row>
      <xdr:rowOff>1504950</xdr:rowOff>
    </xdr:from>
    <xdr:ext cx="2867025" cy="1838325"/>
    <xdr:pic>
      <xdr:nvPicPr>
        <xdr:cNvPr id="2" name="image2.jpg">
          <a:extLst>
            <a:ext uri="{FF2B5EF4-FFF2-40B4-BE49-F238E27FC236}">
              <a16:creationId xmlns:a16="http://schemas.microsoft.com/office/drawing/2014/main" id="{8D41B6BF-9988-4BFF-8667-03CCA89D5D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62425" y="499110"/>
          <a:ext cx="2867025" cy="1838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4</xdr:row>
      <xdr:rowOff>0</xdr:rowOff>
    </xdr:from>
    <xdr:ext cx="3343275" cy="1581150"/>
    <xdr:pic>
      <xdr:nvPicPr>
        <xdr:cNvPr id="3" name="image1.jpg">
          <a:extLst>
            <a:ext uri="{FF2B5EF4-FFF2-40B4-BE49-F238E27FC236}">
              <a16:creationId xmlns:a16="http://schemas.microsoft.com/office/drawing/2014/main" id="{3EE6FB98-BFEB-4682-88DD-83C4F2CD839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71825" y="670560"/>
          <a:ext cx="3343275" cy="1581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2181-411F-492A-851E-090168150300}">
  <sheetPr>
    <tabColor rgb="FFC00000"/>
    <outlinePr summaryBelow="0" summaryRight="0"/>
    <pageSetUpPr fitToPage="1"/>
  </sheetPr>
  <dimension ref="A1:Z1000"/>
  <sheetViews>
    <sheetView topLeftCell="A8" workbookViewId="0"/>
  </sheetViews>
  <sheetFormatPr defaultColWidth="12.69921875" defaultRowHeight="15" customHeight="1"/>
  <cols>
    <col min="1" max="4" width="12.69921875" style="1"/>
    <col min="5" max="5" width="34" style="1" customWidth="1"/>
    <col min="6" max="6" width="12.69921875" style="1"/>
    <col min="7" max="7" width="16.09765625" style="1" customWidth="1"/>
    <col min="8" max="8" width="27.09765625" style="1" customWidth="1"/>
    <col min="9" max="9" width="18.69921875" style="1" customWidth="1"/>
    <col min="10" max="16384" width="12.69921875" style="1"/>
  </cols>
  <sheetData>
    <row r="1" spans="1:26" ht="15.75" customHeight="1">
      <c r="A1" s="5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3"/>
      <c r="B2" s="3"/>
      <c r="C2" s="220" t="s">
        <v>284</v>
      </c>
      <c r="D2" s="221"/>
      <c r="E2" s="221"/>
      <c r="F2" s="221"/>
      <c r="G2" s="221"/>
      <c r="H2" s="22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3"/>
      <c r="B3" s="3"/>
      <c r="C3" s="221"/>
      <c r="D3" s="221"/>
      <c r="E3" s="221"/>
      <c r="F3" s="221"/>
      <c r="G3" s="221"/>
      <c r="H3" s="22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3"/>
      <c r="B5" s="3"/>
      <c r="C5" s="222" t="s">
        <v>283</v>
      </c>
      <c r="D5" s="223"/>
      <c r="E5" s="223"/>
      <c r="F5" s="223"/>
      <c r="G5" s="223"/>
      <c r="H5" s="22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3"/>
      <c r="B7" s="3"/>
      <c r="C7" s="45" t="s">
        <v>282</v>
      </c>
      <c r="D7" s="51" t="s">
        <v>281</v>
      </c>
      <c r="E7" s="51" t="s">
        <v>280</v>
      </c>
      <c r="F7" s="51" t="s">
        <v>279</v>
      </c>
      <c r="G7" s="51" t="s">
        <v>278</v>
      </c>
      <c r="H7" s="51" t="s">
        <v>277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3"/>
      <c r="B8" s="3"/>
      <c r="C8" s="50">
        <v>1</v>
      </c>
      <c r="D8" s="49"/>
      <c r="E8" s="48">
        <v>2</v>
      </c>
      <c r="F8" s="48">
        <v>3</v>
      </c>
      <c r="G8" s="48">
        <v>4</v>
      </c>
      <c r="H8" s="48">
        <v>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3"/>
      <c r="B9" s="3"/>
      <c r="C9" s="45" t="s">
        <v>276</v>
      </c>
      <c r="D9" s="224" t="s">
        <v>275</v>
      </c>
      <c r="E9" s="216"/>
      <c r="F9" s="47"/>
      <c r="G9" s="47"/>
      <c r="H9" s="4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/>
      <c r="B10" s="3"/>
      <c r="C10" s="42">
        <v>1</v>
      </c>
      <c r="D10" s="37" t="s">
        <v>274</v>
      </c>
      <c r="E10" s="24" t="s">
        <v>273</v>
      </c>
      <c r="F10" s="23" t="s">
        <v>263</v>
      </c>
      <c r="G10" s="16">
        <v>114999.99999999999</v>
      </c>
      <c r="H10" s="2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/>
      <c r="B11" s="3"/>
      <c r="C11" s="42">
        <v>2</v>
      </c>
      <c r="D11" s="37" t="s">
        <v>269</v>
      </c>
      <c r="E11" s="24" t="s">
        <v>272</v>
      </c>
      <c r="F11" s="23" t="s">
        <v>263</v>
      </c>
      <c r="G11" s="16">
        <v>166750</v>
      </c>
      <c r="H11" s="2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/>
      <c r="B12" s="3"/>
      <c r="C12" s="42">
        <v>3</v>
      </c>
      <c r="D12" s="37" t="s">
        <v>269</v>
      </c>
      <c r="E12" s="24" t="s">
        <v>271</v>
      </c>
      <c r="F12" s="23" t="s">
        <v>263</v>
      </c>
      <c r="G12" s="16">
        <v>166750</v>
      </c>
      <c r="H12" s="2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/>
      <c r="B13" s="3"/>
      <c r="C13" s="42">
        <v>4</v>
      </c>
      <c r="D13" s="37" t="s">
        <v>269</v>
      </c>
      <c r="E13" s="24" t="s">
        <v>270</v>
      </c>
      <c r="F13" s="23" t="s">
        <v>263</v>
      </c>
      <c r="G13" s="16">
        <v>166750</v>
      </c>
      <c r="H13" s="2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/>
      <c r="B14" s="3"/>
      <c r="C14" s="42">
        <v>5</v>
      </c>
      <c r="D14" s="37" t="s">
        <v>269</v>
      </c>
      <c r="E14" s="24" t="s">
        <v>268</v>
      </c>
      <c r="F14" s="23" t="s">
        <v>263</v>
      </c>
      <c r="G14" s="16">
        <v>166750</v>
      </c>
      <c r="H14" s="2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/>
      <c r="B15" s="3"/>
      <c r="C15" s="42">
        <v>6</v>
      </c>
      <c r="D15" s="37" t="s">
        <v>267</v>
      </c>
      <c r="E15" s="24" t="s">
        <v>266</v>
      </c>
      <c r="F15" s="23" t="s">
        <v>263</v>
      </c>
      <c r="G15" s="16">
        <v>201249.99999999997</v>
      </c>
      <c r="H15" s="2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/>
      <c r="B16" s="3"/>
      <c r="C16" s="42">
        <v>7</v>
      </c>
      <c r="D16" s="37" t="s">
        <v>265</v>
      </c>
      <c r="E16" s="24" t="s">
        <v>264</v>
      </c>
      <c r="F16" s="23" t="s">
        <v>263</v>
      </c>
      <c r="G16" s="16">
        <v>229999.99999999997</v>
      </c>
      <c r="H16" s="2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3"/>
      <c r="C17" s="45" t="s">
        <v>262</v>
      </c>
      <c r="D17" s="224" t="s">
        <v>261</v>
      </c>
      <c r="E17" s="216"/>
      <c r="F17" s="216"/>
      <c r="G17" s="216"/>
      <c r="H17" s="217"/>
      <c r="I17" s="16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B18" s="3"/>
      <c r="C18" s="44" t="s">
        <v>260</v>
      </c>
      <c r="D18" s="225" t="s">
        <v>259</v>
      </c>
      <c r="E18" s="216"/>
      <c r="F18" s="216"/>
      <c r="G18" s="216"/>
      <c r="H18" s="217"/>
      <c r="I18" s="16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/>
      <c r="B19" s="3"/>
      <c r="C19" s="42">
        <v>1</v>
      </c>
      <c r="D19" s="15" t="s">
        <v>258</v>
      </c>
      <c r="E19" s="18" t="s">
        <v>257</v>
      </c>
      <c r="F19" s="17" t="s">
        <v>220</v>
      </c>
      <c r="G19" s="16">
        <v>442749.99999999994</v>
      </c>
      <c r="H19" s="2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3"/>
      <c r="C20" s="42">
        <v>10</v>
      </c>
      <c r="D20" s="20" t="s">
        <v>256</v>
      </c>
      <c r="E20" s="24" t="s">
        <v>255</v>
      </c>
      <c r="F20" s="23" t="s">
        <v>189</v>
      </c>
      <c r="G20" s="16">
        <v>13224.999999999998</v>
      </c>
      <c r="H20" s="2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42">
        <v>22</v>
      </c>
      <c r="D21" s="15" t="s">
        <v>254</v>
      </c>
      <c r="E21" s="18" t="s">
        <v>253</v>
      </c>
      <c r="F21" s="17" t="s">
        <v>220</v>
      </c>
      <c r="G21" s="16">
        <v>146625</v>
      </c>
      <c r="H21" s="2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42">
        <v>39</v>
      </c>
      <c r="D22" s="15" t="s">
        <v>252</v>
      </c>
      <c r="E22" s="18" t="s">
        <v>251</v>
      </c>
      <c r="F22" s="17" t="s">
        <v>186</v>
      </c>
      <c r="G22" s="16">
        <v>977.49999999999989</v>
      </c>
      <c r="H22" s="2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2">
        <v>43</v>
      </c>
      <c r="D23" s="15" t="s">
        <v>250</v>
      </c>
      <c r="E23" s="18" t="s">
        <v>249</v>
      </c>
      <c r="F23" s="17" t="s">
        <v>186</v>
      </c>
      <c r="G23" s="16">
        <v>402.49999999999994</v>
      </c>
      <c r="H23" s="2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2">
        <v>46</v>
      </c>
      <c r="D24" s="15" t="s">
        <v>248</v>
      </c>
      <c r="E24" s="18" t="s">
        <v>247</v>
      </c>
      <c r="F24" s="17" t="s">
        <v>186</v>
      </c>
      <c r="G24" s="16">
        <v>436.99999999999994</v>
      </c>
      <c r="H24" s="2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2">
        <v>52</v>
      </c>
      <c r="D25" s="15" t="s">
        <v>246</v>
      </c>
      <c r="E25" s="18" t="s">
        <v>245</v>
      </c>
      <c r="F25" s="17" t="s">
        <v>220</v>
      </c>
      <c r="G25" s="16">
        <v>442519.99999999994</v>
      </c>
      <c r="H25" s="2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28" t="s">
        <v>244</v>
      </c>
      <c r="D26" s="215" t="s">
        <v>243</v>
      </c>
      <c r="E26" s="216"/>
      <c r="F26" s="216"/>
      <c r="G26" s="216"/>
      <c r="H26" s="217"/>
      <c r="I26" s="16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19">
        <v>11</v>
      </c>
      <c r="D27" s="15" t="s">
        <v>242</v>
      </c>
      <c r="E27" s="18" t="s">
        <v>241</v>
      </c>
      <c r="F27" s="17" t="s">
        <v>240</v>
      </c>
      <c r="G27" s="16">
        <v>28749.999999999996</v>
      </c>
      <c r="H27" s="2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26">
        <v>15</v>
      </c>
      <c r="D28" s="20" t="s">
        <v>239</v>
      </c>
      <c r="E28" s="24" t="s">
        <v>238</v>
      </c>
      <c r="F28" s="23" t="s">
        <v>220</v>
      </c>
      <c r="G28" s="16">
        <v>14374999.999999998</v>
      </c>
      <c r="H28" s="20" t="s">
        <v>237</v>
      </c>
      <c r="I28" s="3"/>
      <c r="J28" s="33"/>
      <c r="K28" s="43"/>
      <c r="L28" s="35"/>
      <c r="M28" s="34"/>
      <c r="N28" s="36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19">
        <v>16</v>
      </c>
      <c r="D29" s="15" t="s">
        <v>236</v>
      </c>
      <c r="E29" s="18" t="s">
        <v>235</v>
      </c>
      <c r="F29" s="17" t="s">
        <v>234</v>
      </c>
      <c r="G29" s="16">
        <v>9775000</v>
      </c>
      <c r="H29" s="2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19">
        <v>22</v>
      </c>
      <c r="D30" s="15" t="s">
        <v>233</v>
      </c>
      <c r="E30" s="18" t="s">
        <v>232</v>
      </c>
      <c r="F30" s="17" t="s">
        <v>220</v>
      </c>
      <c r="G30" s="16">
        <v>12074999.999999998</v>
      </c>
      <c r="H30" s="2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19">
        <v>23</v>
      </c>
      <c r="D31" s="15" t="s">
        <v>231</v>
      </c>
      <c r="E31" s="18" t="s">
        <v>230</v>
      </c>
      <c r="F31" s="17" t="s">
        <v>220</v>
      </c>
      <c r="G31" s="16">
        <v>11746330</v>
      </c>
      <c r="H31" s="20" t="s">
        <v>229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19">
        <v>26</v>
      </c>
      <c r="D32" s="15" t="s">
        <v>228</v>
      </c>
      <c r="E32" s="18" t="s">
        <v>227</v>
      </c>
      <c r="F32" s="17" t="s">
        <v>220</v>
      </c>
      <c r="G32" s="16">
        <v>3679999.9999999995</v>
      </c>
      <c r="H32" s="20" t="s">
        <v>226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19">
        <v>28</v>
      </c>
      <c r="D33" s="15" t="s">
        <v>225</v>
      </c>
      <c r="E33" s="18" t="s">
        <v>224</v>
      </c>
      <c r="F33" s="17" t="s">
        <v>220</v>
      </c>
      <c r="G33" s="16">
        <v>3248749.9999999995</v>
      </c>
      <c r="H33" s="20" t="s">
        <v>223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19">
        <v>31</v>
      </c>
      <c r="D34" s="15" t="s">
        <v>222</v>
      </c>
      <c r="E34" s="18" t="s">
        <v>221</v>
      </c>
      <c r="F34" s="17" t="s">
        <v>220</v>
      </c>
      <c r="G34" s="16">
        <v>9200000</v>
      </c>
      <c r="H34" s="20" t="s">
        <v>219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2">
        <v>47</v>
      </c>
      <c r="D35" s="38" t="s">
        <v>218</v>
      </c>
      <c r="E35" s="30" t="s">
        <v>217</v>
      </c>
      <c r="F35" s="29" t="s">
        <v>198</v>
      </c>
      <c r="G35" s="16">
        <v>7477916.07142857</v>
      </c>
      <c r="H35" s="20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28" t="s">
        <v>216</v>
      </c>
      <c r="D36" s="215" t="s">
        <v>215</v>
      </c>
      <c r="E36" s="216"/>
      <c r="F36" s="216"/>
      <c r="G36" s="216"/>
      <c r="H36" s="217"/>
      <c r="I36" s="1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19">
        <v>38</v>
      </c>
      <c r="D37" s="15" t="s">
        <v>214</v>
      </c>
      <c r="E37" s="18" t="s">
        <v>213</v>
      </c>
      <c r="F37" s="17" t="s">
        <v>186</v>
      </c>
      <c r="G37" s="16">
        <v>18975</v>
      </c>
      <c r="H37" s="2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19">
        <v>58</v>
      </c>
      <c r="D38" s="15" t="s">
        <v>212</v>
      </c>
      <c r="E38" s="18" t="s">
        <v>211</v>
      </c>
      <c r="F38" s="17" t="s">
        <v>186</v>
      </c>
      <c r="G38" s="16">
        <v>25299.999999999996</v>
      </c>
      <c r="H38" s="20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26">
        <v>72</v>
      </c>
      <c r="D39" s="20" t="s">
        <v>210</v>
      </c>
      <c r="E39" s="24" t="s">
        <v>209</v>
      </c>
      <c r="F39" s="23" t="s">
        <v>186</v>
      </c>
      <c r="G39" s="16">
        <v>25874.999999999996</v>
      </c>
      <c r="H39" s="20"/>
      <c r="I39" s="3"/>
      <c r="J39" s="33"/>
      <c r="K39" s="36"/>
      <c r="L39" s="35"/>
      <c r="M39" s="34"/>
      <c r="N39" s="3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26">
        <v>74</v>
      </c>
      <c r="D40" s="20" t="s">
        <v>208</v>
      </c>
      <c r="E40" s="24" t="s">
        <v>127</v>
      </c>
      <c r="F40" s="23" t="s">
        <v>186</v>
      </c>
      <c r="G40" s="16">
        <v>23000</v>
      </c>
      <c r="H40" s="20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26">
        <v>75</v>
      </c>
      <c r="D41" s="20" t="s">
        <v>207</v>
      </c>
      <c r="E41" s="24" t="s">
        <v>91</v>
      </c>
      <c r="F41" s="23" t="s">
        <v>186</v>
      </c>
      <c r="G41" s="16">
        <v>23000</v>
      </c>
      <c r="H41" s="20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26">
        <v>76</v>
      </c>
      <c r="D42" s="20" t="s">
        <v>206</v>
      </c>
      <c r="E42" s="24" t="s">
        <v>205</v>
      </c>
      <c r="F42" s="23" t="s">
        <v>186</v>
      </c>
      <c r="G42" s="16">
        <v>23000</v>
      </c>
      <c r="H42" s="2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42">
        <v>77</v>
      </c>
      <c r="D43" s="41" t="s">
        <v>204</v>
      </c>
      <c r="E43" s="40" t="s">
        <v>203</v>
      </c>
      <c r="F43" s="39" t="s">
        <v>186</v>
      </c>
      <c r="G43" s="16">
        <v>23000</v>
      </c>
      <c r="H43" s="2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28" t="s">
        <v>202</v>
      </c>
      <c r="D44" s="215" t="s">
        <v>201</v>
      </c>
      <c r="E44" s="216"/>
      <c r="F44" s="216"/>
      <c r="G44" s="216"/>
      <c r="H44" s="217"/>
      <c r="I44" s="1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2">
        <v>112</v>
      </c>
      <c r="D45" s="38" t="s">
        <v>200</v>
      </c>
      <c r="E45" s="30" t="s">
        <v>199</v>
      </c>
      <c r="F45" s="29" t="s">
        <v>198</v>
      </c>
      <c r="G45" s="16">
        <v>15984.999999999998</v>
      </c>
      <c r="H45" s="20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28" t="s">
        <v>197</v>
      </c>
      <c r="D46" s="215" t="s">
        <v>196</v>
      </c>
      <c r="E46" s="216"/>
      <c r="F46" s="216"/>
      <c r="G46" s="216"/>
      <c r="H46" s="217"/>
      <c r="I46" s="1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2">
        <v>25</v>
      </c>
      <c r="D47" s="38" t="s">
        <v>195</v>
      </c>
      <c r="E47" s="30" t="s">
        <v>194</v>
      </c>
      <c r="F47" s="29" t="s">
        <v>189</v>
      </c>
      <c r="G47" s="16">
        <v>31049.999999999996</v>
      </c>
      <c r="H47" s="20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28" t="s">
        <v>193</v>
      </c>
      <c r="D48" s="215" t="s">
        <v>192</v>
      </c>
      <c r="E48" s="216"/>
      <c r="F48" s="216"/>
      <c r="G48" s="216"/>
      <c r="H48" s="217"/>
      <c r="I48" s="1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26">
        <v>25</v>
      </c>
      <c r="D49" s="20" t="s">
        <v>191</v>
      </c>
      <c r="E49" s="37" t="s">
        <v>190</v>
      </c>
      <c r="F49" s="23" t="s">
        <v>189</v>
      </c>
      <c r="G49" s="16">
        <v>8049.9999999999991</v>
      </c>
      <c r="H49" s="20"/>
      <c r="I49" s="3"/>
      <c r="J49" s="33"/>
      <c r="K49" s="36"/>
      <c r="L49" s="35"/>
      <c r="M49" s="34"/>
      <c r="N49" s="3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2">
        <v>40</v>
      </c>
      <c r="D50" s="31" t="s">
        <v>188</v>
      </c>
      <c r="E50" s="30" t="s">
        <v>187</v>
      </c>
      <c r="F50" s="29" t="s">
        <v>186</v>
      </c>
      <c r="G50" s="16">
        <v>1609.9999999999998</v>
      </c>
      <c r="H50" s="20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28" t="s">
        <v>185</v>
      </c>
      <c r="D51" s="218" t="s">
        <v>184</v>
      </c>
      <c r="E51" s="216"/>
      <c r="F51" s="216"/>
      <c r="G51" s="216"/>
      <c r="H51" s="217"/>
      <c r="I51" s="1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2">
        <v>104</v>
      </c>
      <c r="D52" s="31"/>
      <c r="E52" s="30" t="s">
        <v>183</v>
      </c>
      <c r="F52" s="29" t="s">
        <v>182</v>
      </c>
      <c r="G52" s="16">
        <v>51749.999999999993</v>
      </c>
      <c r="H52" s="20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28" t="s">
        <v>181</v>
      </c>
      <c r="D53" s="218" t="s">
        <v>180</v>
      </c>
      <c r="E53" s="216"/>
      <c r="F53" s="216"/>
      <c r="G53" s="216"/>
      <c r="H53" s="217"/>
      <c r="I53" s="16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19">
        <v>6</v>
      </c>
      <c r="D54" s="27"/>
      <c r="E54" s="18" t="s">
        <v>179</v>
      </c>
      <c r="F54" s="17" t="s">
        <v>174</v>
      </c>
      <c r="G54" s="16">
        <v>23000</v>
      </c>
      <c r="H54" s="2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2">
        <v>13</v>
      </c>
      <c r="D55" s="31"/>
      <c r="E55" s="30" t="s">
        <v>178</v>
      </c>
      <c r="F55" s="29" t="s">
        <v>174</v>
      </c>
      <c r="G55" s="16">
        <v>24149.999999999996</v>
      </c>
      <c r="H55" s="2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28" t="s">
        <v>177</v>
      </c>
      <c r="D56" s="218" t="s">
        <v>176</v>
      </c>
      <c r="E56" s="216"/>
      <c r="F56" s="216"/>
      <c r="G56" s="216"/>
      <c r="H56" s="217"/>
      <c r="I56" s="16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19">
        <v>1</v>
      </c>
      <c r="D57" s="27"/>
      <c r="E57" s="18" t="s">
        <v>175</v>
      </c>
      <c r="F57" s="17" t="s">
        <v>174</v>
      </c>
      <c r="G57" s="16">
        <v>229.99999999999997</v>
      </c>
      <c r="H57" s="20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26">
        <v>58</v>
      </c>
      <c r="D58" s="25"/>
      <c r="E58" s="24" t="s">
        <v>173</v>
      </c>
      <c r="F58" s="23" t="s">
        <v>172</v>
      </c>
      <c r="G58" s="16">
        <v>98439.999999999985</v>
      </c>
      <c r="H58" s="2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22" t="s">
        <v>171</v>
      </c>
      <c r="D59" s="219" t="s">
        <v>170</v>
      </c>
      <c r="E59" s="217"/>
      <c r="F59" s="21"/>
      <c r="G59" s="21"/>
      <c r="H59" s="21"/>
      <c r="I59" s="1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19">
        <v>7</v>
      </c>
      <c r="D60" s="15"/>
      <c r="E60" s="18" t="s">
        <v>169</v>
      </c>
      <c r="F60" s="17" t="s">
        <v>164</v>
      </c>
      <c r="G60" s="16">
        <v>977499.99999999988</v>
      </c>
      <c r="H60" s="20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19">
        <v>28</v>
      </c>
      <c r="D61" s="15"/>
      <c r="E61" s="18" t="s">
        <v>168</v>
      </c>
      <c r="F61" s="17" t="s">
        <v>164</v>
      </c>
      <c r="G61" s="16">
        <v>919999.99999999988</v>
      </c>
      <c r="H61" s="15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19">
        <v>97</v>
      </c>
      <c r="D62" s="15"/>
      <c r="E62" s="18" t="s">
        <v>167</v>
      </c>
      <c r="F62" s="17" t="s">
        <v>164</v>
      </c>
      <c r="G62" s="16">
        <v>459999.99999999994</v>
      </c>
      <c r="H62" s="15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19">
        <v>115</v>
      </c>
      <c r="D63" s="15"/>
      <c r="E63" s="18" t="s">
        <v>166</v>
      </c>
      <c r="F63" s="17" t="s">
        <v>164</v>
      </c>
      <c r="G63" s="16">
        <v>86250</v>
      </c>
      <c r="H63" s="15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19">
        <v>147</v>
      </c>
      <c r="D64" s="15"/>
      <c r="E64" s="18" t="s">
        <v>165</v>
      </c>
      <c r="F64" s="17" t="s">
        <v>164</v>
      </c>
      <c r="G64" s="16">
        <v>402499.99999999994</v>
      </c>
      <c r="H64" s="15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">
    <mergeCell ref="D59:E59"/>
    <mergeCell ref="C2:H3"/>
    <mergeCell ref="C5:H5"/>
    <mergeCell ref="D9:E9"/>
    <mergeCell ref="D17:H17"/>
    <mergeCell ref="D18:H18"/>
    <mergeCell ref="D26:H26"/>
    <mergeCell ref="D36:H36"/>
    <mergeCell ref="D44:H44"/>
    <mergeCell ref="D46:H46"/>
    <mergeCell ref="D48:H48"/>
    <mergeCell ref="D51:H51"/>
    <mergeCell ref="D53:H53"/>
    <mergeCell ref="D56:H56"/>
  </mergeCells>
  <printOptions horizontalCentered="1"/>
  <pageMargins left="0.7" right="0.7" top="0.75" bottom="0.75" header="0" footer="0"/>
  <pageSetup paperSize="9" fitToHeight="0" pageOrder="overThenDown" orientation="portrait" cellComments="atEnd"/>
  <headerFooter>
    <oddHeader>&amp;C&amp;A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92B3-BD2E-493B-9D8F-C2A59FB7CD30}">
  <sheetPr>
    <tabColor rgb="FFFF0000"/>
  </sheetPr>
  <dimension ref="B1:R1000"/>
  <sheetViews>
    <sheetView tabSelected="1" topLeftCell="A105" workbookViewId="0">
      <selection activeCell="H117" sqref="H117:H118"/>
    </sheetView>
  </sheetViews>
  <sheetFormatPr defaultColWidth="12.69921875" defaultRowHeight="15" customHeight="1"/>
  <cols>
    <col min="1" max="1" width="8.69921875" style="1" customWidth="1"/>
    <col min="2" max="2" width="3.69921875" style="1" customWidth="1"/>
    <col min="3" max="3" width="17.8984375" style="1" customWidth="1"/>
    <col min="4" max="6" width="8.8984375" style="1" customWidth="1"/>
    <col min="7" max="7" width="13.296875" style="1" customWidth="1"/>
    <col min="8" max="8" width="6.09765625" style="1" customWidth="1"/>
    <col min="9" max="9" width="18.3984375" style="1" customWidth="1"/>
    <col min="10" max="10" width="8.69921875" style="1" customWidth="1"/>
    <col min="11" max="11" width="29.69921875" style="1" customWidth="1"/>
    <col min="12" max="13" width="8.8984375" style="1" customWidth="1"/>
    <col min="14" max="26" width="8.69921875" style="1" customWidth="1"/>
    <col min="27" max="16384" width="12.69921875" style="1"/>
  </cols>
  <sheetData>
    <row r="1" spans="2:18" ht="12.7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8" ht="12.7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8" ht="13.5" customHeight="1">
      <c r="B3" s="234" t="s">
        <v>163</v>
      </c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</row>
    <row r="4" spans="2:18" ht="12.75" customHeight="1">
      <c r="B4" s="232" t="s">
        <v>162</v>
      </c>
      <c r="C4" s="232" t="s">
        <v>161</v>
      </c>
      <c r="D4" s="232" t="s">
        <v>160</v>
      </c>
      <c r="E4" s="232" t="s">
        <v>159</v>
      </c>
      <c r="F4" s="232" t="s">
        <v>158</v>
      </c>
      <c r="G4" s="233" t="s">
        <v>157</v>
      </c>
      <c r="H4" s="216"/>
      <c r="I4" s="216"/>
      <c r="J4" s="216"/>
      <c r="K4" s="216"/>
      <c r="L4" s="217"/>
      <c r="M4" s="232" t="s">
        <v>156</v>
      </c>
    </row>
    <row r="5" spans="2:18" ht="12.75" customHeight="1">
      <c r="B5" s="227"/>
      <c r="C5" s="227"/>
      <c r="D5" s="227"/>
      <c r="E5" s="227"/>
      <c r="F5" s="227"/>
      <c r="G5" s="233" t="s">
        <v>155</v>
      </c>
      <c r="H5" s="217"/>
      <c r="I5" s="233" t="s">
        <v>154</v>
      </c>
      <c r="J5" s="217"/>
      <c r="K5" s="233" t="s">
        <v>153</v>
      </c>
      <c r="L5" s="217"/>
      <c r="M5" s="227"/>
    </row>
    <row r="6" spans="2:18" ht="12.75" customHeight="1">
      <c r="B6" s="228"/>
      <c r="C6" s="228"/>
      <c r="D6" s="228"/>
      <c r="E6" s="228"/>
      <c r="F6" s="228"/>
      <c r="G6" s="14" t="s">
        <v>152</v>
      </c>
      <c r="H6" s="14" t="s">
        <v>151</v>
      </c>
      <c r="I6" s="14" t="s">
        <v>152</v>
      </c>
      <c r="J6" s="14" t="s">
        <v>151</v>
      </c>
      <c r="K6" s="14" t="s">
        <v>152</v>
      </c>
      <c r="L6" s="14" t="s">
        <v>151</v>
      </c>
      <c r="M6" s="228"/>
    </row>
    <row r="7" spans="2:18" ht="13.5" customHeight="1">
      <c r="B7" s="13">
        <v>1</v>
      </c>
      <c r="C7" s="237" t="s">
        <v>150</v>
      </c>
      <c r="D7" s="216"/>
      <c r="E7" s="216"/>
      <c r="F7" s="216"/>
      <c r="G7" s="216"/>
      <c r="H7" s="216"/>
      <c r="I7" s="216"/>
      <c r="J7" s="216"/>
      <c r="K7" s="216"/>
      <c r="L7" s="216"/>
      <c r="M7" s="217"/>
    </row>
    <row r="8" spans="2:18" ht="12.75" customHeight="1">
      <c r="B8" s="7">
        <v>2</v>
      </c>
      <c r="C8" s="229" t="s">
        <v>149</v>
      </c>
      <c r="D8" s="216"/>
      <c r="E8" s="216"/>
      <c r="F8" s="216"/>
      <c r="G8" s="216"/>
      <c r="H8" s="216"/>
      <c r="I8" s="216"/>
      <c r="J8" s="216"/>
      <c r="K8" s="216"/>
      <c r="L8" s="216"/>
      <c r="M8" s="217"/>
    </row>
    <row r="9" spans="2:18" ht="12.75" customHeight="1">
      <c r="B9" s="11">
        <v>3</v>
      </c>
      <c r="C9" s="6" t="s">
        <v>148</v>
      </c>
      <c r="D9" s="5">
        <v>1</v>
      </c>
      <c r="E9" s="6" t="s">
        <v>125</v>
      </c>
      <c r="F9" s="11">
        <v>50</v>
      </c>
      <c r="G9" s="4"/>
      <c r="H9" s="4"/>
      <c r="I9" s="4"/>
      <c r="J9" s="4"/>
      <c r="K9" s="4"/>
      <c r="L9" s="4"/>
      <c r="M9" s="4"/>
    </row>
    <row r="10" spans="2:18" ht="12.75" customHeight="1">
      <c r="B10" s="231">
        <v>4</v>
      </c>
      <c r="C10" s="226" t="s">
        <v>147</v>
      </c>
      <c r="D10" s="230">
        <v>965.25</v>
      </c>
      <c r="E10" s="226" t="s">
        <v>6</v>
      </c>
      <c r="F10" s="231">
        <v>1</v>
      </c>
      <c r="G10" s="6" t="s">
        <v>5</v>
      </c>
      <c r="H10" s="9">
        <v>676</v>
      </c>
      <c r="I10" s="4"/>
      <c r="J10" s="4"/>
      <c r="K10" s="4"/>
      <c r="L10" s="4"/>
      <c r="M10" s="226" t="s">
        <v>146</v>
      </c>
    </row>
    <row r="11" spans="2:18" ht="12.75" customHeight="1">
      <c r="B11" s="228"/>
      <c r="C11" s="228"/>
      <c r="D11" s="228"/>
      <c r="E11" s="228"/>
      <c r="F11" s="228"/>
      <c r="G11" s="6" t="s">
        <v>0</v>
      </c>
      <c r="H11" s="9">
        <v>33.78</v>
      </c>
      <c r="I11" s="4"/>
      <c r="J11" s="4"/>
      <c r="K11" s="4"/>
      <c r="L11" s="4"/>
      <c r="M11" s="228"/>
      <c r="R11" s="3"/>
    </row>
    <row r="12" spans="2:18" ht="12.75" customHeight="1">
      <c r="B12" s="231">
        <v>5</v>
      </c>
      <c r="C12" s="226" t="s">
        <v>145</v>
      </c>
      <c r="D12" s="236">
        <v>124.5</v>
      </c>
      <c r="E12" s="226" t="s">
        <v>131</v>
      </c>
      <c r="F12" s="231">
        <v>1</v>
      </c>
      <c r="G12" s="6" t="s">
        <v>5</v>
      </c>
      <c r="H12" s="9">
        <v>522.9</v>
      </c>
      <c r="I12" s="6" t="s">
        <v>144</v>
      </c>
      <c r="J12" s="9">
        <v>4.82</v>
      </c>
      <c r="K12" s="4"/>
      <c r="L12" s="4"/>
      <c r="M12" s="226" t="s">
        <v>143</v>
      </c>
      <c r="R12" s="3"/>
    </row>
    <row r="13" spans="2:18" ht="12.75" customHeight="1">
      <c r="B13" s="227"/>
      <c r="C13" s="227"/>
      <c r="D13" s="227"/>
      <c r="E13" s="227"/>
      <c r="F13" s="227"/>
      <c r="G13" s="6" t="s">
        <v>2</v>
      </c>
      <c r="H13" s="9">
        <v>174.3</v>
      </c>
      <c r="I13" s="6" t="s">
        <v>142</v>
      </c>
      <c r="J13" s="9">
        <v>4.93</v>
      </c>
      <c r="K13" s="4"/>
      <c r="L13" s="4"/>
      <c r="M13" s="227"/>
      <c r="R13" s="3"/>
    </row>
    <row r="14" spans="2:18" ht="12.75" customHeight="1">
      <c r="B14" s="227"/>
      <c r="C14" s="227"/>
      <c r="D14" s="227"/>
      <c r="E14" s="227"/>
      <c r="F14" s="227"/>
      <c r="G14" s="6" t="s">
        <v>141</v>
      </c>
      <c r="H14" s="9">
        <v>174.3</v>
      </c>
      <c r="I14" s="6" t="s">
        <v>140</v>
      </c>
      <c r="J14" s="9">
        <v>73.11</v>
      </c>
      <c r="K14" s="4"/>
      <c r="L14" s="4"/>
      <c r="M14" s="227"/>
      <c r="R14" s="3"/>
    </row>
    <row r="15" spans="2:18" ht="12.75" customHeight="1">
      <c r="B15" s="227"/>
      <c r="C15" s="227"/>
      <c r="D15" s="227"/>
      <c r="E15" s="227"/>
      <c r="F15" s="227"/>
      <c r="G15" s="6" t="s">
        <v>1</v>
      </c>
      <c r="H15" s="9">
        <v>34.86</v>
      </c>
      <c r="I15" s="6" t="s">
        <v>139</v>
      </c>
      <c r="J15" s="9">
        <v>3287.55</v>
      </c>
      <c r="K15" s="4"/>
      <c r="L15" s="4"/>
      <c r="M15" s="227"/>
      <c r="R15" s="3"/>
    </row>
    <row r="16" spans="2:18" ht="12.75" customHeight="1">
      <c r="B16" s="227"/>
      <c r="C16" s="227"/>
      <c r="D16" s="227"/>
      <c r="E16" s="227"/>
      <c r="F16" s="227"/>
      <c r="G16" s="6" t="s">
        <v>0</v>
      </c>
      <c r="H16" s="9">
        <v>11.33</v>
      </c>
      <c r="I16" s="6" t="s">
        <v>138</v>
      </c>
      <c r="J16" s="9">
        <v>7664.22</v>
      </c>
      <c r="K16" s="4"/>
      <c r="L16" s="4"/>
      <c r="M16" s="227"/>
      <c r="R16" s="3"/>
    </row>
    <row r="17" spans="2:18" ht="12.75" customHeight="1">
      <c r="B17" s="227"/>
      <c r="C17" s="227"/>
      <c r="D17" s="227"/>
      <c r="E17" s="227"/>
      <c r="F17" s="227"/>
      <c r="G17" s="4"/>
      <c r="H17" s="9"/>
      <c r="I17" s="6" t="s">
        <v>33</v>
      </c>
      <c r="J17" s="9">
        <v>10376.950000000001</v>
      </c>
      <c r="K17" s="4"/>
      <c r="L17" s="4"/>
      <c r="M17" s="227"/>
      <c r="R17" s="3"/>
    </row>
    <row r="18" spans="2:18" ht="12.75" customHeight="1">
      <c r="B18" s="227"/>
      <c r="C18" s="227"/>
      <c r="D18" s="227"/>
      <c r="E18" s="227"/>
      <c r="F18" s="227"/>
      <c r="G18" s="4"/>
      <c r="H18" s="9"/>
      <c r="I18" s="6" t="s">
        <v>32</v>
      </c>
      <c r="J18" s="9">
        <v>2168.17</v>
      </c>
      <c r="K18" s="4"/>
      <c r="L18" s="4"/>
      <c r="M18" s="227"/>
      <c r="R18" s="3"/>
    </row>
    <row r="19" spans="2:18" ht="12.75" customHeight="1">
      <c r="B19" s="228"/>
      <c r="C19" s="228"/>
      <c r="D19" s="228"/>
      <c r="E19" s="228"/>
      <c r="F19" s="228"/>
      <c r="G19" s="4"/>
      <c r="H19" s="9"/>
      <c r="I19" s="6" t="s">
        <v>137</v>
      </c>
      <c r="J19" s="9">
        <v>49.8</v>
      </c>
      <c r="K19" s="4"/>
      <c r="L19" s="4"/>
      <c r="M19" s="228"/>
      <c r="R19" s="3"/>
    </row>
    <row r="20" spans="2:18" ht="12.75" customHeight="1">
      <c r="B20" s="11">
        <v>6</v>
      </c>
      <c r="C20" s="6" t="s">
        <v>136</v>
      </c>
      <c r="D20" s="11">
        <v>1</v>
      </c>
      <c r="E20" s="6" t="s">
        <v>125</v>
      </c>
      <c r="F20" s="11">
        <v>50</v>
      </c>
      <c r="G20" s="4"/>
      <c r="H20" s="9"/>
      <c r="I20" s="4"/>
      <c r="J20" s="9"/>
      <c r="K20" s="4"/>
      <c r="L20" s="4"/>
      <c r="M20" s="6" t="s">
        <v>135</v>
      </c>
      <c r="R20" s="3"/>
    </row>
    <row r="21" spans="2:18" ht="12.75" customHeight="1">
      <c r="B21" s="11">
        <v>7</v>
      </c>
      <c r="C21" s="6" t="s">
        <v>134</v>
      </c>
      <c r="D21" s="11">
        <v>1</v>
      </c>
      <c r="E21" s="6" t="s">
        <v>125</v>
      </c>
      <c r="F21" s="11">
        <v>50</v>
      </c>
      <c r="G21" s="4"/>
      <c r="H21" s="9"/>
      <c r="I21" s="4"/>
      <c r="J21" s="9"/>
      <c r="K21" s="4"/>
      <c r="L21" s="4"/>
      <c r="M21" s="6" t="s">
        <v>133</v>
      </c>
      <c r="R21" s="3"/>
    </row>
    <row r="22" spans="2:18" ht="12.75" customHeight="1">
      <c r="B22" s="231">
        <v>8</v>
      </c>
      <c r="C22" s="226" t="s">
        <v>132</v>
      </c>
      <c r="D22" s="239">
        <v>124.5</v>
      </c>
      <c r="E22" s="226" t="s">
        <v>131</v>
      </c>
      <c r="F22" s="231">
        <v>1</v>
      </c>
      <c r="G22" s="6" t="s">
        <v>5</v>
      </c>
      <c r="H22" s="9">
        <v>10.46</v>
      </c>
      <c r="I22" s="6" t="s">
        <v>130</v>
      </c>
      <c r="J22" s="9">
        <v>1.62</v>
      </c>
      <c r="K22" s="12" t="s">
        <v>129</v>
      </c>
      <c r="L22" s="5">
        <v>5.23</v>
      </c>
      <c r="M22" s="226">
        <v>5</v>
      </c>
      <c r="R22" s="3"/>
    </row>
    <row r="23" spans="2:18" ht="12.75" customHeight="1">
      <c r="B23" s="227"/>
      <c r="C23" s="227"/>
      <c r="D23" s="227"/>
      <c r="E23" s="227"/>
      <c r="F23" s="227"/>
      <c r="G23" s="6" t="s">
        <v>2</v>
      </c>
      <c r="H23" s="9">
        <v>5.23</v>
      </c>
      <c r="I23" s="6" t="s">
        <v>128</v>
      </c>
      <c r="J23" s="9">
        <v>0.87</v>
      </c>
      <c r="K23" s="4"/>
      <c r="L23" s="4"/>
      <c r="M23" s="227"/>
      <c r="R23" s="3"/>
    </row>
    <row r="24" spans="2:18" ht="12.75" customHeight="1">
      <c r="B24" s="227"/>
      <c r="C24" s="227"/>
      <c r="D24" s="227"/>
      <c r="E24" s="227"/>
      <c r="F24" s="227"/>
      <c r="G24" s="6" t="s">
        <v>1</v>
      </c>
      <c r="H24" s="9">
        <v>0.52</v>
      </c>
      <c r="I24" s="6" t="s">
        <v>127</v>
      </c>
      <c r="J24" s="9">
        <v>2.4900000000000002</v>
      </c>
      <c r="K24" s="4"/>
      <c r="L24" s="4"/>
      <c r="M24" s="227"/>
      <c r="R24" s="3"/>
    </row>
    <row r="25" spans="2:18" ht="12.75" customHeight="1">
      <c r="B25" s="228"/>
      <c r="C25" s="228"/>
      <c r="D25" s="228"/>
      <c r="E25" s="228"/>
      <c r="F25" s="228"/>
      <c r="G25" s="6" t="s">
        <v>0</v>
      </c>
      <c r="H25" s="9">
        <v>1.05</v>
      </c>
      <c r="I25" s="4"/>
      <c r="J25" s="4"/>
      <c r="K25" s="4"/>
      <c r="L25" s="4"/>
      <c r="M25" s="228"/>
      <c r="R25" s="3"/>
    </row>
    <row r="26" spans="2:18" ht="12.75" customHeight="1">
      <c r="B26" s="11">
        <v>9</v>
      </c>
      <c r="C26" s="6" t="s">
        <v>126</v>
      </c>
      <c r="D26" s="11">
        <v>1</v>
      </c>
      <c r="E26" s="6" t="s">
        <v>125</v>
      </c>
      <c r="F26" s="11">
        <v>50</v>
      </c>
      <c r="G26" s="4"/>
      <c r="H26" s="4"/>
      <c r="I26" s="4"/>
      <c r="J26" s="4"/>
      <c r="K26" s="4"/>
      <c r="L26" s="4"/>
      <c r="M26" s="6" t="s">
        <v>124</v>
      </c>
      <c r="O26" s="3"/>
      <c r="R26" s="3"/>
    </row>
    <row r="27" spans="2:18" ht="12.75" customHeight="1">
      <c r="B27" s="7">
        <v>10</v>
      </c>
      <c r="C27" s="229" t="s">
        <v>123</v>
      </c>
      <c r="D27" s="216"/>
      <c r="E27" s="216"/>
      <c r="F27" s="216"/>
      <c r="G27" s="216"/>
      <c r="H27" s="216"/>
      <c r="I27" s="216"/>
      <c r="J27" s="216"/>
      <c r="K27" s="216"/>
      <c r="L27" s="216"/>
      <c r="M27" s="217"/>
      <c r="O27" s="3"/>
      <c r="R27" s="3"/>
    </row>
    <row r="28" spans="2:18" ht="12.75" customHeight="1">
      <c r="B28" s="7">
        <v>11</v>
      </c>
      <c r="C28" s="229" t="s">
        <v>122</v>
      </c>
      <c r="D28" s="216"/>
      <c r="E28" s="216"/>
      <c r="F28" s="216"/>
      <c r="G28" s="216"/>
      <c r="H28" s="216"/>
      <c r="I28" s="216"/>
      <c r="J28" s="216"/>
      <c r="K28" s="216"/>
      <c r="L28" s="216"/>
      <c r="M28" s="217"/>
      <c r="R28" s="3"/>
    </row>
    <row r="29" spans="2:18" ht="12.75" customHeight="1">
      <c r="B29" s="231">
        <v>12</v>
      </c>
      <c r="C29" s="226" t="s">
        <v>121</v>
      </c>
      <c r="D29" s="230">
        <v>264.60000000000002</v>
      </c>
      <c r="E29" s="226" t="s">
        <v>38</v>
      </c>
      <c r="F29" s="238">
        <v>2</v>
      </c>
      <c r="G29" s="6" t="s">
        <v>5</v>
      </c>
      <c r="H29" s="9">
        <v>1250.24</v>
      </c>
      <c r="I29" s="4"/>
      <c r="J29" s="4"/>
      <c r="K29" s="4"/>
      <c r="L29" s="4"/>
      <c r="M29" s="226" t="s">
        <v>120</v>
      </c>
      <c r="R29" s="3"/>
    </row>
    <row r="30" spans="2:18" ht="12.75" customHeight="1">
      <c r="B30" s="228"/>
      <c r="C30" s="228"/>
      <c r="D30" s="228"/>
      <c r="E30" s="228"/>
      <c r="F30" s="228"/>
      <c r="G30" s="6" t="s">
        <v>0</v>
      </c>
      <c r="H30" s="9">
        <v>125.02</v>
      </c>
      <c r="I30" s="4"/>
      <c r="J30" s="4"/>
      <c r="K30" s="4"/>
      <c r="L30" s="4"/>
      <c r="M30" s="228"/>
      <c r="R30" s="3"/>
    </row>
    <row r="31" spans="2:18" ht="12.75" customHeight="1">
      <c r="B31" s="231">
        <v>13</v>
      </c>
      <c r="C31" s="226" t="s">
        <v>119</v>
      </c>
      <c r="D31" s="230">
        <v>196.38</v>
      </c>
      <c r="E31" s="226" t="s">
        <v>38</v>
      </c>
      <c r="F31" s="238">
        <v>1</v>
      </c>
      <c r="G31" s="6" t="s">
        <v>5</v>
      </c>
      <c r="H31" s="9">
        <v>687.33</v>
      </c>
      <c r="I31" s="4"/>
      <c r="J31" s="4"/>
      <c r="K31" s="4"/>
      <c r="L31" s="4"/>
      <c r="M31" s="226" t="s">
        <v>118</v>
      </c>
      <c r="R31" s="3"/>
    </row>
    <row r="32" spans="2:18" ht="12.75" customHeight="1">
      <c r="B32" s="228"/>
      <c r="C32" s="228"/>
      <c r="D32" s="228"/>
      <c r="E32" s="228"/>
      <c r="F32" s="228"/>
      <c r="G32" s="6" t="s">
        <v>0</v>
      </c>
      <c r="H32" s="9">
        <v>34.369999999999997</v>
      </c>
      <c r="I32" s="4"/>
      <c r="J32" s="4"/>
      <c r="K32" s="4"/>
      <c r="L32" s="4"/>
      <c r="M32" s="228"/>
      <c r="R32" s="3"/>
    </row>
    <row r="33" spans="2:18" ht="12.75" customHeight="1">
      <c r="B33" s="11">
        <v>14</v>
      </c>
      <c r="C33" s="6" t="s">
        <v>117</v>
      </c>
      <c r="D33" s="5">
        <v>21.6</v>
      </c>
      <c r="E33" s="6" t="s">
        <v>38</v>
      </c>
      <c r="F33" s="10">
        <v>1</v>
      </c>
      <c r="G33" s="4"/>
      <c r="H33" s="4"/>
      <c r="I33" s="4"/>
      <c r="J33" s="4"/>
      <c r="K33" s="6" t="s">
        <v>116</v>
      </c>
      <c r="L33" s="9">
        <v>1.35</v>
      </c>
      <c r="M33" s="6" t="s">
        <v>115</v>
      </c>
      <c r="R33" s="3"/>
    </row>
    <row r="34" spans="2:18" ht="12.75" customHeight="1">
      <c r="B34" s="7">
        <v>15</v>
      </c>
      <c r="C34" s="229" t="s">
        <v>114</v>
      </c>
      <c r="D34" s="216"/>
      <c r="E34" s="216"/>
      <c r="F34" s="216"/>
      <c r="G34" s="216"/>
      <c r="H34" s="216"/>
      <c r="I34" s="216"/>
      <c r="J34" s="216"/>
      <c r="K34" s="216"/>
      <c r="L34" s="216"/>
      <c r="M34" s="217"/>
      <c r="R34" s="3"/>
    </row>
    <row r="35" spans="2:18" ht="12.75" customHeight="1">
      <c r="B35" s="231">
        <v>16</v>
      </c>
      <c r="C35" s="226" t="s">
        <v>113</v>
      </c>
      <c r="D35" s="230">
        <v>8527.5</v>
      </c>
      <c r="E35" s="226" t="s">
        <v>46</v>
      </c>
      <c r="F35" s="231">
        <v>6</v>
      </c>
      <c r="G35" s="6" t="s">
        <v>5</v>
      </c>
      <c r="H35" s="5">
        <v>95.51</v>
      </c>
      <c r="I35" s="6" t="s">
        <v>45</v>
      </c>
      <c r="J35" s="5">
        <v>8527.5</v>
      </c>
      <c r="K35" s="6" t="s">
        <v>44</v>
      </c>
      <c r="L35" s="5">
        <v>2387.6999999999998</v>
      </c>
      <c r="M35" s="226" t="s">
        <v>112</v>
      </c>
      <c r="R35" s="3"/>
    </row>
    <row r="36" spans="2:18" ht="13.5" customHeight="1">
      <c r="B36" s="227"/>
      <c r="C36" s="227"/>
      <c r="D36" s="227"/>
      <c r="E36" s="227"/>
      <c r="F36" s="227"/>
      <c r="G36" s="6" t="s">
        <v>42</v>
      </c>
      <c r="H36" s="5">
        <v>95.51</v>
      </c>
      <c r="I36" s="6" t="s">
        <v>41</v>
      </c>
      <c r="J36" s="5">
        <v>238.77</v>
      </c>
      <c r="K36" s="6" t="s">
        <v>40</v>
      </c>
      <c r="L36" s="5">
        <v>2387.6999999999998</v>
      </c>
      <c r="M36" s="227"/>
      <c r="R36" s="3"/>
    </row>
    <row r="37" spans="2:18" ht="12.75" customHeight="1">
      <c r="B37" s="227"/>
      <c r="C37" s="227"/>
      <c r="D37" s="227"/>
      <c r="E37" s="227"/>
      <c r="F37" s="227"/>
      <c r="G37" s="6" t="s">
        <v>1</v>
      </c>
      <c r="H37" s="5">
        <v>9.5500000000000007</v>
      </c>
      <c r="I37" s="4"/>
      <c r="J37" s="4"/>
      <c r="K37" s="4"/>
      <c r="L37" s="4"/>
      <c r="M37" s="227"/>
      <c r="R37" s="3"/>
    </row>
    <row r="38" spans="2:18" ht="12.75" customHeight="1">
      <c r="B38" s="228"/>
      <c r="C38" s="228"/>
      <c r="D38" s="228"/>
      <c r="E38" s="228"/>
      <c r="F38" s="228"/>
      <c r="G38" s="6" t="s">
        <v>0</v>
      </c>
      <c r="H38" s="5">
        <v>9.5500000000000007</v>
      </c>
      <c r="I38" s="4"/>
      <c r="J38" s="4"/>
      <c r="K38" s="4"/>
      <c r="L38" s="4"/>
      <c r="M38" s="228"/>
      <c r="R38" s="3"/>
    </row>
    <row r="39" spans="2:18" ht="12.75" customHeight="1">
      <c r="B39" s="231">
        <v>17</v>
      </c>
      <c r="C39" s="226" t="s">
        <v>55</v>
      </c>
      <c r="D39" s="230">
        <v>353.07</v>
      </c>
      <c r="E39" s="226" t="s">
        <v>6</v>
      </c>
      <c r="F39" s="231">
        <v>1</v>
      </c>
      <c r="G39" s="6" t="s">
        <v>5</v>
      </c>
      <c r="H39" s="5">
        <v>1285.17</v>
      </c>
      <c r="I39" s="6" t="s">
        <v>111</v>
      </c>
      <c r="J39" s="5">
        <v>5.65</v>
      </c>
      <c r="K39" s="4"/>
      <c r="L39" s="4"/>
      <c r="M39" s="226" t="s">
        <v>110</v>
      </c>
      <c r="R39" s="3"/>
    </row>
    <row r="40" spans="2:18" ht="12.75" customHeight="1">
      <c r="B40" s="227"/>
      <c r="C40" s="227"/>
      <c r="D40" s="227"/>
      <c r="E40" s="227"/>
      <c r="F40" s="227"/>
      <c r="G40" s="6" t="s">
        <v>2</v>
      </c>
      <c r="H40" s="5">
        <v>642.59</v>
      </c>
      <c r="I40" s="6" t="s">
        <v>102</v>
      </c>
      <c r="J40" s="5">
        <v>105.92</v>
      </c>
      <c r="K40" s="4"/>
      <c r="L40" s="4"/>
      <c r="M40" s="227"/>
      <c r="R40" s="3"/>
    </row>
    <row r="41" spans="2:18" ht="12.75" customHeight="1">
      <c r="B41" s="227"/>
      <c r="C41" s="227"/>
      <c r="D41" s="227"/>
      <c r="E41" s="227"/>
      <c r="F41" s="227"/>
      <c r="G41" s="6" t="s">
        <v>1</v>
      </c>
      <c r="H41" s="5">
        <v>64.260000000000005</v>
      </c>
      <c r="I41" s="6" t="s">
        <v>51</v>
      </c>
      <c r="J41" s="5">
        <v>35.31</v>
      </c>
      <c r="K41" s="4"/>
      <c r="L41" s="4"/>
      <c r="M41" s="227"/>
      <c r="R41" s="3"/>
    </row>
    <row r="42" spans="2:18" ht="12.75" customHeight="1">
      <c r="B42" s="228"/>
      <c r="C42" s="228"/>
      <c r="D42" s="228"/>
      <c r="E42" s="228"/>
      <c r="F42" s="228"/>
      <c r="G42" s="6" t="s">
        <v>0</v>
      </c>
      <c r="H42" s="5">
        <v>22.24</v>
      </c>
      <c r="I42" s="4"/>
      <c r="J42" s="4"/>
      <c r="K42" s="4"/>
      <c r="L42" s="4"/>
      <c r="M42" s="228"/>
      <c r="R42" s="3"/>
    </row>
    <row r="43" spans="2:18" ht="12.75" customHeight="1">
      <c r="B43" s="231">
        <v>18</v>
      </c>
      <c r="C43" s="226" t="s">
        <v>39</v>
      </c>
      <c r="D43" s="230">
        <v>68.22</v>
      </c>
      <c r="E43" s="226" t="s">
        <v>38</v>
      </c>
      <c r="F43" s="231">
        <v>1</v>
      </c>
      <c r="G43" s="6" t="s">
        <v>5</v>
      </c>
      <c r="H43" s="5">
        <v>477.54</v>
      </c>
      <c r="I43" s="6" t="s">
        <v>10</v>
      </c>
      <c r="J43" s="5">
        <v>27833.759999999998</v>
      </c>
      <c r="K43" s="8" t="s">
        <v>37</v>
      </c>
      <c r="L43" s="5">
        <v>70.44</v>
      </c>
      <c r="M43" s="226" t="s">
        <v>109</v>
      </c>
      <c r="R43" s="3"/>
    </row>
    <row r="44" spans="2:18" ht="12.75" customHeight="1">
      <c r="B44" s="227"/>
      <c r="C44" s="227"/>
      <c r="D44" s="227"/>
      <c r="E44" s="227"/>
      <c r="F44" s="227"/>
      <c r="G44" s="6" t="s">
        <v>35</v>
      </c>
      <c r="H44" s="5">
        <v>119.39</v>
      </c>
      <c r="I44" s="6" t="s">
        <v>34</v>
      </c>
      <c r="J44" s="5">
        <v>42910.38</v>
      </c>
      <c r="K44" s="4"/>
      <c r="L44" s="4"/>
      <c r="M44" s="227"/>
      <c r="R44" s="3"/>
    </row>
    <row r="45" spans="2:18" ht="12.75" customHeight="1">
      <c r="B45" s="227"/>
      <c r="C45" s="227"/>
      <c r="D45" s="227"/>
      <c r="E45" s="227"/>
      <c r="F45" s="227"/>
      <c r="G45" s="6" t="s">
        <v>1</v>
      </c>
      <c r="H45" s="5">
        <v>11.94</v>
      </c>
      <c r="I45" s="6" t="s">
        <v>33</v>
      </c>
      <c r="J45" s="5">
        <v>68833.98</v>
      </c>
      <c r="K45" s="4"/>
      <c r="L45" s="4"/>
      <c r="M45" s="227"/>
      <c r="R45" s="3"/>
    </row>
    <row r="46" spans="2:18" ht="12.75" customHeight="1">
      <c r="B46" s="227"/>
      <c r="C46" s="227"/>
      <c r="D46" s="227"/>
      <c r="E46" s="227"/>
      <c r="F46" s="227"/>
      <c r="G46" s="6" t="s">
        <v>0</v>
      </c>
      <c r="H46" s="5">
        <v>47.75</v>
      </c>
      <c r="I46" s="6" t="s">
        <v>32</v>
      </c>
      <c r="J46" s="5">
        <v>13780.44</v>
      </c>
      <c r="K46" s="4"/>
      <c r="L46" s="4"/>
      <c r="M46" s="227"/>
      <c r="O46" s="3"/>
      <c r="R46" s="3"/>
    </row>
    <row r="47" spans="2:18" ht="12.75" customHeight="1">
      <c r="B47" s="228"/>
      <c r="C47" s="228"/>
      <c r="D47" s="228"/>
      <c r="E47" s="228"/>
      <c r="F47" s="228"/>
      <c r="G47" s="4"/>
      <c r="H47" s="4"/>
      <c r="I47" s="6" t="s">
        <v>31</v>
      </c>
      <c r="J47" s="5">
        <v>6958.44</v>
      </c>
      <c r="K47" s="4"/>
      <c r="L47" s="4"/>
      <c r="M47" s="228"/>
      <c r="O47" s="210"/>
      <c r="P47" s="211"/>
      <c r="Q47" s="211"/>
      <c r="R47" s="210"/>
    </row>
    <row r="48" spans="2:18" ht="12.75" customHeight="1">
      <c r="B48" s="231">
        <v>19</v>
      </c>
      <c r="C48" s="226" t="s">
        <v>108</v>
      </c>
      <c r="D48" s="230">
        <v>353.07</v>
      </c>
      <c r="E48" s="226" t="s">
        <v>6</v>
      </c>
      <c r="F48" s="231">
        <v>1</v>
      </c>
      <c r="G48" s="6" t="s">
        <v>5</v>
      </c>
      <c r="H48" s="5">
        <v>148.29</v>
      </c>
      <c r="I48" s="4"/>
      <c r="J48" s="4"/>
      <c r="K48" s="4"/>
      <c r="L48" s="4"/>
      <c r="M48" s="226" t="s">
        <v>107</v>
      </c>
      <c r="O48" s="210"/>
      <c r="P48" s="211"/>
      <c r="Q48" s="211"/>
      <c r="R48" s="210"/>
    </row>
    <row r="49" spans="2:18" ht="12.75" customHeight="1">
      <c r="B49" s="228"/>
      <c r="C49" s="228"/>
      <c r="D49" s="228"/>
      <c r="E49" s="228"/>
      <c r="F49" s="227"/>
      <c r="G49" s="6" t="s">
        <v>0</v>
      </c>
      <c r="H49" s="5">
        <v>14.83</v>
      </c>
      <c r="I49" s="4"/>
      <c r="J49" s="4"/>
      <c r="K49" s="4"/>
      <c r="L49" s="4"/>
      <c r="M49" s="228"/>
      <c r="O49" s="210"/>
      <c r="P49" s="211"/>
      <c r="Q49" s="211"/>
      <c r="R49" s="210"/>
    </row>
    <row r="50" spans="2:18" ht="12.75" customHeight="1">
      <c r="B50" s="7">
        <v>20</v>
      </c>
      <c r="C50" s="229" t="s">
        <v>106</v>
      </c>
      <c r="D50" s="216"/>
      <c r="E50" s="216"/>
      <c r="F50" s="216"/>
      <c r="G50" s="216"/>
      <c r="H50" s="216"/>
      <c r="I50" s="216"/>
      <c r="J50" s="216"/>
      <c r="K50" s="216"/>
      <c r="L50" s="216"/>
      <c r="M50" s="217"/>
      <c r="O50" s="210"/>
      <c r="P50" s="211"/>
      <c r="Q50" s="211"/>
      <c r="R50" s="210"/>
    </row>
    <row r="51" spans="2:18" ht="12.75" customHeight="1">
      <c r="B51" s="7">
        <v>21</v>
      </c>
      <c r="C51" s="229" t="s">
        <v>27</v>
      </c>
      <c r="D51" s="216"/>
      <c r="E51" s="216"/>
      <c r="F51" s="216"/>
      <c r="G51" s="216"/>
      <c r="H51" s="216"/>
      <c r="I51" s="216"/>
      <c r="J51" s="216"/>
      <c r="K51" s="216"/>
      <c r="L51" s="216"/>
      <c r="M51" s="217"/>
      <c r="O51" s="212"/>
      <c r="P51" s="213"/>
      <c r="Q51" s="211"/>
      <c r="R51" s="210"/>
    </row>
    <row r="52" spans="2:18" ht="12.75" customHeight="1">
      <c r="B52" s="7">
        <v>22</v>
      </c>
      <c r="C52" s="229" t="s">
        <v>105</v>
      </c>
      <c r="D52" s="216"/>
      <c r="E52" s="216"/>
      <c r="F52" s="216"/>
      <c r="G52" s="216"/>
      <c r="H52" s="216"/>
      <c r="I52" s="216"/>
      <c r="J52" s="216"/>
      <c r="K52" s="216"/>
      <c r="L52" s="216"/>
      <c r="M52" s="217"/>
      <c r="O52" s="212"/>
      <c r="P52" s="213"/>
      <c r="Q52" s="211"/>
      <c r="R52" s="210"/>
    </row>
    <row r="53" spans="2:18" ht="12.75" customHeight="1">
      <c r="B53" s="231">
        <v>23</v>
      </c>
      <c r="C53" s="226" t="s">
        <v>55</v>
      </c>
      <c r="D53" s="230">
        <v>289.8</v>
      </c>
      <c r="E53" s="226" t="s">
        <v>6</v>
      </c>
      <c r="F53" s="231">
        <v>3</v>
      </c>
      <c r="G53" s="6" t="s">
        <v>5</v>
      </c>
      <c r="H53" s="5">
        <v>1054.8699999999999</v>
      </c>
      <c r="I53" s="6" t="s">
        <v>104</v>
      </c>
      <c r="J53" s="5">
        <v>5.22</v>
      </c>
      <c r="K53" s="4"/>
      <c r="L53" s="4"/>
      <c r="M53" s="226" t="s">
        <v>103</v>
      </c>
      <c r="O53" s="212"/>
      <c r="P53" s="213"/>
      <c r="Q53" s="211"/>
      <c r="R53" s="210"/>
    </row>
    <row r="54" spans="2:18" ht="12.75" customHeight="1">
      <c r="B54" s="227"/>
      <c r="C54" s="227"/>
      <c r="D54" s="227"/>
      <c r="E54" s="227"/>
      <c r="F54" s="227"/>
      <c r="G54" s="6" t="s">
        <v>2</v>
      </c>
      <c r="H54" s="5">
        <v>527.44000000000005</v>
      </c>
      <c r="I54" s="6" t="s">
        <v>102</v>
      </c>
      <c r="J54" s="5">
        <v>86.94</v>
      </c>
      <c r="K54" s="4"/>
      <c r="L54" s="4"/>
      <c r="M54" s="227"/>
      <c r="O54" s="212"/>
      <c r="P54" s="213"/>
      <c r="Q54" s="211"/>
      <c r="R54" s="210"/>
    </row>
    <row r="55" spans="2:18" ht="12.75" customHeight="1">
      <c r="B55" s="227"/>
      <c r="C55" s="227"/>
      <c r="D55" s="227"/>
      <c r="E55" s="227"/>
      <c r="F55" s="227"/>
      <c r="G55" s="6" t="s">
        <v>1</v>
      </c>
      <c r="H55" s="5">
        <v>52.74</v>
      </c>
      <c r="I55" s="6" t="s">
        <v>17</v>
      </c>
      <c r="J55" s="5">
        <v>28.98</v>
      </c>
      <c r="K55" s="4"/>
      <c r="L55" s="4"/>
      <c r="M55" s="227"/>
      <c r="O55" s="212"/>
      <c r="P55" s="213"/>
      <c r="Q55" s="211"/>
      <c r="R55" s="210"/>
    </row>
    <row r="56" spans="2:18" ht="12.75" customHeight="1">
      <c r="B56" s="228"/>
      <c r="C56" s="228"/>
      <c r="D56" s="228"/>
      <c r="E56" s="228"/>
      <c r="F56" s="228"/>
      <c r="G56" s="6" t="s">
        <v>0</v>
      </c>
      <c r="H56" s="5">
        <v>18.260000000000002</v>
      </c>
      <c r="I56" s="4"/>
      <c r="J56" s="4"/>
      <c r="K56" s="4"/>
      <c r="L56" s="4"/>
      <c r="M56" s="228"/>
      <c r="O56" s="212"/>
      <c r="P56" s="213"/>
      <c r="Q56" s="211"/>
      <c r="R56" s="210"/>
    </row>
    <row r="57" spans="2:18" ht="12.75" customHeight="1">
      <c r="B57" s="231">
        <v>24</v>
      </c>
      <c r="C57" s="226" t="s">
        <v>47</v>
      </c>
      <c r="D57" s="230">
        <v>2933.48</v>
      </c>
      <c r="E57" s="226" t="s">
        <v>46</v>
      </c>
      <c r="F57" s="231">
        <v>4</v>
      </c>
      <c r="G57" s="6" t="s">
        <v>5</v>
      </c>
      <c r="H57" s="5">
        <v>32.85</v>
      </c>
      <c r="I57" s="6" t="s">
        <v>45</v>
      </c>
      <c r="J57" s="5">
        <v>2933.48</v>
      </c>
      <c r="K57" s="6" t="s">
        <v>44</v>
      </c>
      <c r="L57" s="5">
        <v>821.37</v>
      </c>
      <c r="M57" s="226" t="s">
        <v>101</v>
      </c>
      <c r="O57" s="212"/>
      <c r="P57" s="213"/>
      <c r="Q57" s="211"/>
      <c r="R57" s="210"/>
    </row>
    <row r="58" spans="2:18" ht="12.75" customHeight="1">
      <c r="B58" s="227"/>
      <c r="C58" s="227"/>
      <c r="D58" s="227"/>
      <c r="E58" s="227"/>
      <c r="F58" s="227"/>
      <c r="G58" s="6" t="s">
        <v>42</v>
      </c>
      <c r="H58" s="5">
        <v>32.85</v>
      </c>
      <c r="I58" s="6" t="s">
        <v>41</v>
      </c>
      <c r="J58" s="5">
        <v>82.14</v>
      </c>
      <c r="K58" s="6" t="s">
        <v>40</v>
      </c>
      <c r="L58" s="5">
        <v>821.37</v>
      </c>
      <c r="M58" s="227"/>
      <c r="O58" s="212"/>
      <c r="P58" s="213"/>
      <c r="Q58" s="211"/>
      <c r="R58" s="210"/>
    </row>
    <row r="59" spans="2:18" ht="12.75" customHeight="1">
      <c r="B59" s="227"/>
      <c r="C59" s="227"/>
      <c r="D59" s="227"/>
      <c r="E59" s="227"/>
      <c r="F59" s="227"/>
      <c r="G59" s="6" t="s">
        <v>1</v>
      </c>
      <c r="H59" s="5">
        <v>3.29</v>
      </c>
      <c r="I59" s="4"/>
      <c r="J59" s="4"/>
      <c r="K59" s="4"/>
      <c r="L59" s="4"/>
      <c r="M59" s="227"/>
      <c r="O59" s="212"/>
      <c r="P59" s="213"/>
      <c r="Q59" s="211"/>
      <c r="R59" s="210"/>
    </row>
    <row r="60" spans="2:18" ht="12.75" customHeight="1">
      <c r="B60" s="228"/>
      <c r="C60" s="228"/>
      <c r="D60" s="228"/>
      <c r="E60" s="228"/>
      <c r="F60" s="228"/>
      <c r="G60" s="6" t="s">
        <v>0</v>
      </c>
      <c r="H60" s="5">
        <v>3.29</v>
      </c>
      <c r="I60" s="4"/>
      <c r="J60" s="4"/>
      <c r="K60" s="4"/>
      <c r="L60" s="4"/>
      <c r="M60" s="228"/>
      <c r="O60" s="214"/>
      <c r="P60" s="213"/>
      <c r="Q60" s="211"/>
      <c r="R60" s="210"/>
    </row>
    <row r="61" spans="2:18" ht="12.75" customHeight="1">
      <c r="B61" s="231">
        <v>25</v>
      </c>
      <c r="C61" s="226" t="s">
        <v>39</v>
      </c>
      <c r="D61" s="230">
        <v>24.9</v>
      </c>
      <c r="E61" s="226" t="s">
        <v>38</v>
      </c>
      <c r="F61" s="231">
        <v>1</v>
      </c>
      <c r="G61" s="6" t="s">
        <v>5</v>
      </c>
      <c r="H61" s="5">
        <v>174.3</v>
      </c>
      <c r="I61" s="6" t="s">
        <v>10</v>
      </c>
      <c r="J61" s="5">
        <v>10159.199999999999</v>
      </c>
      <c r="K61" s="8" t="s">
        <v>37</v>
      </c>
      <c r="L61" s="5">
        <v>25.709249999999997</v>
      </c>
      <c r="M61" s="226" t="s">
        <v>97</v>
      </c>
      <c r="O61" s="214"/>
      <c r="P61" s="213"/>
      <c r="Q61" s="211"/>
      <c r="R61" s="210"/>
    </row>
    <row r="62" spans="2:18" ht="12.75" customHeight="1">
      <c r="B62" s="227"/>
      <c r="C62" s="227"/>
      <c r="D62" s="227"/>
      <c r="E62" s="227"/>
      <c r="F62" s="227"/>
      <c r="G62" s="6" t="s">
        <v>35</v>
      </c>
      <c r="H62" s="5">
        <v>43.58</v>
      </c>
      <c r="I62" s="6" t="s">
        <v>34</v>
      </c>
      <c r="J62" s="5">
        <v>15662.099999999999</v>
      </c>
      <c r="K62" s="4"/>
      <c r="L62" s="4"/>
      <c r="M62" s="227"/>
      <c r="O62" s="212"/>
      <c r="P62" s="213"/>
      <c r="Q62" s="211"/>
      <c r="R62" s="210"/>
    </row>
    <row r="63" spans="2:18" ht="12.75" customHeight="1">
      <c r="B63" s="227"/>
      <c r="C63" s="227"/>
      <c r="D63" s="227"/>
      <c r="E63" s="227"/>
      <c r="F63" s="227"/>
      <c r="G63" s="6" t="s">
        <v>1</v>
      </c>
      <c r="H63" s="5">
        <v>4.3600000000000003</v>
      </c>
      <c r="I63" s="6" t="s">
        <v>33</v>
      </c>
      <c r="J63" s="5">
        <v>25124.1</v>
      </c>
      <c r="K63" s="4"/>
      <c r="L63" s="4"/>
      <c r="M63" s="227"/>
      <c r="O63" s="212"/>
      <c r="P63" s="213"/>
      <c r="Q63" s="211"/>
      <c r="R63" s="210"/>
    </row>
    <row r="64" spans="2:18" ht="12.75" customHeight="1">
      <c r="B64" s="227"/>
      <c r="C64" s="227"/>
      <c r="D64" s="227"/>
      <c r="E64" s="227"/>
      <c r="F64" s="227"/>
      <c r="G64" s="6" t="s">
        <v>0</v>
      </c>
      <c r="H64" s="5">
        <v>17.43</v>
      </c>
      <c r="I64" s="6" t="s">
        <v>32</v>
      </c>
      <c r="J64" s="5">
        <v>5029.7999999999993</v>
      </c>
      <c r="K64" s="4"/>
      <c r="L64" s="4"/>
      <c r="M64" s="227"/>
      <c r="O64" s="212"/>
      <c r="P64" s="213"/>
      <c r="Q64" s="211"/>
      <c r="R64" s="210"/>
    </row>
    <row r="65" spans="2:18" ht="12.75" customHeight="1">
      <c r="B65" s="228"/>
      <c r="C65" s="228"/>
      <c r="D65" s="228"/>
      <c r="E65" s="228"/>
      <c r="F65" s="228"/>
      <c r="G65" s="4"/>
      <c r="H65" s="4"/>
      <c r="I65" s="6" t="s">
        <v>31</v>
      </c>
      <c r="J65" s="5">
        <v>2539.7999999999997</v>
      </c>
      <c r="K65" s="4"/>
      <c r="L65" s="4"/>
      <c r="M65" s="228"/>
      <c r="O65" s="210"/>
      <c r="P65" s="213"/>
      <c r="Q65" s="211"/>
      <c r="R65" s="210"/>
    </row>
    <row r="66" spans="2:18" ht="12.75" customHeight="1">
      <c r="B66" s="231">
        <v>26</v>
      </c>
      <c r="C66" s="226" t="s">
        <v>30</v>
      </c>
      <c r="D66" s="230">
        <v>289.8</v>
      </c>
      <c r="E66" s="226" t="s">
        <v>6</v>
      </c>
      <c r="F66" s="231">
        <v>1</v>
      </c>
      <c r="G66" s="6" t="s">
        <v>5</v>
      </c>
      <c r="H66" s="5">
        <v>121.71599999999999</v>
      </c>
      <c r="I66" s="4"/>
      <c r="J66" s="4"/>
      <c r="K66" s="4"/>
      <c r="L66" s="4"/>
      <c r="M66" s="226" t="s">
        <v>100</v>
      </c>
      <c r="O66" s="210"/>
      <c r="P66" s="213"/>
      <c r="Q66" s="211"/>
      <c r="R66" s="210"/>
    </row>
    <row r="67" spans="2:18" ht="12.75" customHeight="1">
      <c r="B67" s="228"/>
      <c r="C67" s="228"/>
      <c r="D67" s="228"/>
      <c r="E67" s="228"/>
      <c r="F67" s="228"/>
      <c r="G67" s="6" t="s">
        <v>0</v>
      </c>
      <c r="H67" s="5">
        <v>12.171600000000002</v>
      </c>
      <c r="I67" s="4"/>
      <c r="J67" s="4"/>
      <c r="K67" s="4"/>
      <c r="L67" s="4"/>
      <c r="M67" s="228"/>
      <c r="O67" s="210"/>
      <c r="P67" s="213"/>
      <c r="Q67" s="211"/>
      <c r="R67" s="210"/>
    </row>
    <row r="68" spans="2:18" ht="12.75" customHeight="1">
      <c r="B68" s="7">
        <v>27</v>
      </c>
      <c r="C68" s="229" t="s">
        <v>86</v>
      </c>
      <c r="D68" s="216"/>
      <c r="E68" s="216"/>
      <c r="F68" s="216"/>
      <c r="G68" s="216"/>
      <c r="H68" s="216"/>
      <c r="I68" s="216"/>
      <c r="J68" s="216"/>
      <c r="K68" s="216"/>
      <c r="L68" s="216"/>
      <c r="M68" s="217"/>
      <c r="O68" s="210"/>
      <c r="P68" s="211"/>
      <c r="Q68" s="211"/>
      <c r="R68" s="210"/>
    </row>
    <row r="69" spans="2:18" ht="12.75" customHeight="1">
      <c r="B69" s="231">
        <v>28</v>
      </c>
      <c r="C69" s="226" t="s">
        <v>55</v>
      </c>
      <c r="D69" s="230">
        <v>468.06</v>
      </c>
      <c r="E69" s="226" t="s">
        <v>6</v>
      </c>
      <c r="F69" s="231">
        <v>3</v>
      </c>
      <c r="G69" s="6" t="s">
        <v>5</v>
      </c>
      <c r="H69" s="5">
        <v>2162.4371999999998</v>
      </c>
      <c r="I69" s="6" t="s">
        <v>54</v>
      </c>
      <c r="J69" s="5">
        <v>187.22400000000002</v>
      </c>
      <c r="K69" s="4"/>
      <c r="L69" s="4"/>
      <c r="M69" s="244" t="s">
        <v>99</v>
      </c>
      <c r="O69" s="210"/>
      <c r="P69" s="211"/>
      <c r="Q69" s="211"/>
      <c r="R69" s="210"/>
    </row>
    <row r="70" spans="2:18" ht="12.75" customHeight="1">
      <c r="B70" s="227"/>
      <c r="C70" s="227"/>
      <c r="D70" s="227"/>
      <c r="E70" s="227"/>
      <c r="F70" s="227"/>
      <c r="G70" s="6" t="s">
        <v>2</v>
      </c>
      <c r="H70" s="5">
        <v>1081.2185999999999</v>
      </c>
      <c r="I70" s="6" t="s">
        <v>17</v>
      </c>
      <c r="J70" s="5">
        <v>93.612000000000009</v>
      </c>
      <c r="K70" s="4"/>
      <c r="L70" s="4"/>
      <c r="M70" s="227"/>
      <c r="O70" s="210"/>
      <c r="P70" s="211"/>
      <c r="Q70" s="211"/>
      <c r="R70" s="210"/>
    </row>
    <row r="71" spans="2:18" ht="12.75" customHeight="1">
      <c r="B71" s="227"/>
      <c r="C71" s="227"/>
      <c r="D71" s="227"/>
      <c r="E71" s="227"/>
      <c r="F71" s="227"/>
      <c r="G71" s="6" t="s">
        <v>1</v>
      </c>
      <c r="H71" s="5">
        <v>108.12186000000001</v>
      </c>
      <c r="I71" s="6" t="s">
        <v>66</v>
      </c>
      <c r="J71" s="5">
        <v>2.3403</v>
      </c>
      <c r="K71" s="4"/>
      <c r="L71" s="4"/>
      <c r="M71" s="227"/>
      <c r="O71" s="210"/>
      <c r="P71" s="211"/>
      <c r="Q71" s="211"/>
      <c r="R71" s="210"/>
    </row>
    <row r="72" spans="2:18" ht="12.75" customHeight="1">
      <c r="B72" s="227"/>
      <c r="C72" s="227"/>
      <c r="D72" s="227"/>
      <c r="E72" s="227"/>
      <c r="F72" s="227"/>
      <c r="G72" s="6" t="s">
        <v>0</v>
      </c>
      <c r="H72" s="5">
        <v>36.040619999999997</v>
      </c>
      <c r="I72" s="6" t="s">
        <v>65</v>
      </c>
      <c r="J72" s="5">
        <v>59.443620000000003</v>
      </c>
      <c r="K72" s="4"/>
      <c r="L72" s="4"/>
      <c r="M72" s="227"/>
      <c r="O72" s="210"/>
      <c r="P72" s="211"/>
      <c r="Q72" s="211"/>
      <c r="R72" s="210"/>
    </row>
    <row r="73" spans="2:18" ht="12.75" customHeight="1">
      <c r="B73" s="228"/>
      <c r="C73" s="228"/>
      <c r="D73" s="228"/>
      <c r="E73" s="228"/>
      <c r="F73" s="228"/>
      <c r="G73" s="4"/>
      <c r="H73" s="4"/>
      <c r="I73" s="4" t="s">
        <v>48</v>
      </c>
      <c r="J73" s="5">
        <v>912.71699999999998</v>
      </c>
      <c r="K73" s="4"/>
      <c r="L73" s="4"/>
      <c r="M73" s="228"/>
      <c r="O73" s="3"/>
      <c r="R73" s="3"/>
    </row>
    <row r="74" spans="2:18" ht="12.75" customHeight="1">
      <c r="B74" s="231">
        <v>29</v>
      </c>
      <c r="C74" s="226" t="s">
        <v>47</v>
      </c>
      <c r="D74" s="230">
        <v>8828.7900000000009</v>
      </c>
      <c r="E74" s="226" t="s">
        <v>46</v>
      </c>
      <c r="F74" s="231">
        <v>6</v>
      </c>
      <c r="G74" s="6" t="s">
        <v>5</v>
      </c>
      <c r="H74" s="5">
        <v>98.882448000000011</v>
      </c>
      <c r="I74" s="6" t="s">
        <v>45</v>
      </c>
      <c r="J74" s="5">
        <v>8828.7900000000009</v>
      </c>
      <c r="K74" s="6" t="s">
        <v>44</v>
      </c>
      <c r="L74" s="5">
        <v>2472.0612000000001</v>
      </c>
      <c r="M74" s="226" t="s">
        <v>98</v>
      </c>
      <c r="O74" s="3"/>
      <c r="R74" s="3"/>
    </row>
    <row r="75" spans="2:18" ht="12.75" customHeight="1">
      <c r="B75" s="227"/>
      <c r="C75" s="227"/>
      <c r="D75" s="227"/>
      <c r="E75" s="227"/>
      <c r="F75" s="227"/>
      <c r="G75" s="6" t="s">
        <v>42</v>
      </c>
      <c r="H75" s="5">
        <v>98.882448000000011</v>
      </c>
      <c r="I75" s="6" t="s">
        <v>41</v>
      </c>
      <c r="J75" s="5">
        <v>247.20612000000003</v>
      </c>
      <c r="K75" s="6" t="s">
        <v>40</v>
      </c>
      <c r="L75" s="5">
        <v>2472.0612000000001</v>
      </c>
      <c r="M75" s="227"/>
      <c r="O75" s="3"/>
      <c r="R75" s="3"/>
    </row>
    <row r="76" spans="2:18" ht="12.75" customHeight="1">
      <c r="B76" s="227"/>
      <c r="C76" s="227"/>
      <c r="D76" s="227"/>
      <c r="E76" s="227"/>
      <c r="F76" s="227"/>
      <c r="G76" s="6" t="s">
        <v>1</v>
      </c>
      <c r="H76" s="5">
        <v>9.8882448000000025</v>
      </c>
      <c r="I76" s="4"/>
      <c r="J76" s="4"/>
      <c r="K76" s="4"/>
      <c r="L76" s="4"/>
      <c r="M76" s="227"/>
      <c r="O76" s="3"/>
      <c r="R76" s="3"/>
    </row>
    <row r="77" spans="2:18" ht="12.75" customHeight="1">
      <c r="B77" s="228"/>
      <c r="C77" s="228"/>
      <c r="D77" s="228"/>
      <c r="E77" s="228"/>
      <c r="F77" s="228"/>
      <c r="G77" s="6" t="s">
        <v>0</v>
      </c>
      <c r="H77" s="5">
        <v>9.8882448000000025</v>
      </c>
      <c r="I77" s="4"/>
      <c r="J77" s="4"/>
      <c r="K77" s="4"/>
      <c r="L77" s="4"/>
      <c r="M77" s="228"/>
      <c r="O77" s="3"/>
      <c r="R77" s="3"/>
    </row>
    <row r="78" spans="2:18" ht="12.75" customHeight="1">
      <c r="B78" s="231">
        <v>30</v>
      </c>
      <c r="C78" s="226" t="s">
        <v>39</v>
      </c>
      <c r="D78" s="230">
        <v>112.34</v>
      </c>
      <c r="E78" s="226" t="s">
        <v>38</v>
      </c>
      <c r="F78" s="231">
        <v>2</v>
      </c>
      <c r="G78" s="6" t="s">
        <v>5</v>
      </c>
      <c r="H78" s="5">
        <v>786.38</v>
      </c>
      <c r="I78" s="6" t="s">
        <v>10</v>
      </c>
      <c r="J78" s="5">
        <v>45834.720000000001</v>
      </c>
      <c r="K78" s="8" t="s">
        <v>37</v>
      </c>
      <c r="L78" s="5">
        <v>115.99104999999999</v>
      </c>
      <c r="M78" s="226" t="s">
        <v>97</v>
      </c>
      <c r="O78" s="3"/>
      <c r="R78" s="3"/>
    </row>
    <row r="79" spans="2:18" ht="12.75" customHeight="1">
      <c r="B79" s="227"/>
      <c r="C79" s="227"/>
      <c r="D79" s="227"/>
      <c r="E79" s="227"/>
      <c r="F79" s="227"/>
      <c r="G79" s="6" t="s">
        <v>35</v>
      </c>
      <c r="H79" s="5">
        <v>196.595</v>
      </c>
      <c r="I79" s="6" t="s">
        <v>34</v>
      </c>
      <c r="J79" s="5">
        <v>70661.86</v>
      </c>
      <c r="K79" s="4"/>
      <c r="L79" s="4"/>
      <c r="M79" s="227"/>
      <c r="O79" s="3"/>
      <c r="R79" s="3"/>
    </row>
    <row r="80" spans="2:18" ht="12.75" customHeight="1">
      <c r="B80" s="227"/>
      <c r="C80" s="227"/>
      <c r="D80" s="227"/>
      <c r="E80" s="227"/>
      <c r="F80" s="227"/>
      <c r="G80" s="6" t="s">
        <v>1</v>
      </c>
      <c r="H80" s="5">
        <v>19.659500000000001</v>
      </c>
      <c r="I80" s="6" t="s">
        <v>33</v>
      </c>
      <c r="J80" s="5">
        <v>113351.06</v>
      </c>
      <c r="K80" s="4"/>
      <c r="L80" s="4"/>
      <c r="M80" s="227"/>
      <c r="O80" s="3"/>
      <c r="R80" s="3"/>
    </row>
    <row r="81" spans="2:18" ht="12.75" customHeight="1">
      <c r="B81" s="227"/>
      <c r="C81" s="227"/>
      <c r="D81" s="227"/>
      <c r="E81" s="227"/>
      <c r="F81" s="227"/>
      <c r="G81" s="6" t="s">
        <v>0</v>
      </c>
      <c r="H81" s="5">
        <v>78.638000000000005</v>
      </c>
      <c r="I81" s="6" t="s">
        <v>32</v>
      </c>
      <c r="J81" s="5">
        <v>22692.68</v>
      </c>
      <c r="K81" s="4"/>
      <c r="L81" s="4"/>
      <c r="M81" s="227"/>
      <c r="O81" s="3"/>
      <c r="R81" s="3"/>
    </row>
    <row r="82" spans="2:18" ht="12.75" customHeight="1">
      <c r="B82" s="228"/>
      <c r="C82" s="228"/>
      <c r="D82" s="228"/>
      <c r="E82" s="228"/>
      <c r="F82" s="228"/>
      <c r="G82" s="4"/>
      <c r="H82" s="4"/>
      <c r="I82" s="6" t="s">
        <v>31</v>
      </c>
      <c r="J82" s="5">
        <v>11458.68</v>
      </c>
      <c r="K82" s="4"/>
      <c r="L82" s="4"/>
      <c r="M82" s="228"/>
      <c r="O82" s="3"/>
      <c r="R82" s="3"/>
    </row>
    <row r="83" spans="2:18" ht="12.75" customHeight="1">
      <c r="B83" s="231">
        <v>31</v>
      </c>
      <c r="C83" s="226" t="s">
        <v>30</v>
      </c>
      <c r="D83" s="230">
        <v>468.06</v>
      </c>
      <c r="E83" s="226" t="s">
        <v>6</v>
      </c>
      <c r="F83" s="231">
        <v>1</v>
      </c>
      <c r="G83" s="6" t="s">
        <v>5</v>
      </c>
      <c r="H83" s="5">
        <v>196.58519999999999</v>
      </c>
      <c r="I83" s="4"/>
      <c r="J83" s="4"/>
      <c r="K83" s="4"/>
      <c r="L83" s="4"/>
      <c r="M83" s="226" t="s">
        <v>96</v>
      </c>
      <c r="O83" s="3"/>
      <c r="R83" s="3"/>
    </row>
    <row r="84" spans="2:18" ht="12.75" customHeight="1">
      <c r="B84" s="228"/>
      <c r="C84" s="228"/>
      <c r="D84" s="228"/>
      <c r="E84" s="228"/>
      <c r="F84" s="228"/>
      <c r="G84" s="6" t="s">
        <v>0</v>
      </c>
      <c r="H84" s="5">
        <v>19.658520000000003</v>
      </c>
      <c r="I84" s="4"/>
      <c r="J84" s="4"/>
      <c r="K84" s="4"/>
      <c r="L84" s="4"/>
      <c r="M84" s="228"/>
      <c r="O84" s="3"/>
      <c r="R84" s="3"/>
    </row>
    <row r="85" spans="2:18" ht="12.75" customHeight="1">
      <c r="B85" s="7">
        <v>32</v>
      </c>
      <c r="C85" s="229" t="s">
        <v>80</v>
      </c>
      <c r="D85" s="216"/>
      <c r="E85" s="216"/>
      <c r="F85" s="216"/>
      <c r="G85" s="216"/>
      <c r="H85" s="216"/>
      <c r="I85" s="216"/>
      <c r="J85" s="216"/>
      <c r="K85" s="216"/>
      <c r="L85" s="216"/>
      <c r="M85" s="217"/>
      <c r="O85" s="3"/>
      <c r="R85" s="3"/>
    </row>
    <row r="86" spans="2:18" ht="12.75" customHeight="1">
      <c r="B86" s="231">
        <v>33</v>
      </c>
      <c r="C86" s="226" t="s">
        <v>55</v>
      </c>
      <c r="D86" s="230">
        <v>289.8</v>
      </c>
      <c r="E86" s="226" t="s">
        <v>6</v>
      </c>
      <c r="F86" s="231">
        <v>1</v>
      </c>
      <c r="G86" s="6" t="s">
        <v>5</v>
      </c>
      <c r="H86" s="5">
        <v>1338.876</v>
      </c>
      <c r="I86" s="6" t="s">
        <v>79</v>
      </c>
      <c r="J86" s="5">
        <v>115.92000000000002</v>
      </c>
      <c r="K86" s="4"/>
      <c r="L86" s="4"/>
      <c r="M86" s="226" t="s">
        <v>95</v>
      </c>
      <c r="O86" s="3"/>
      <c r="R86" s="3"/>
    </row>
    <row r="87" spans="2:18" ht="12.75" customHeight="1">
      <c r="B87" s="227"/>
      <c r="C87" s="227"/>
      <c r="D87" s="227"/>
      <c r="E87" s="227"/>
      <c r="F87" s="227"/>
      <c r="G87" s="6" t="s">
        <v>2</v>
      </c>
      <c r="H87" s="5">
        <v>669.43799999999999</v>
      </c>
      <c r="I87" s="6" t="s">
        <v>17</v>
      </c>
      <c r="J87" s="5">
        <v>57.960000000000008</v>
      </c>
      <c r="K87" s="4"/>
      <c r="L87" s="4"/>
      <c r="M87" s="227"/>
      <c r="O87" s="3"/>
      <c r="R87" s="3"/>
    </row>
    <row r="88" spans="2:18" ht="12.75" customHeight="1">
      <c r="B88" s="227"/>
      <c r="C88" s="227"/>
      <c r="D88" s="227"/>
      <c r="E88" s="227"/>
      <c r="F88" s="227"/>
      <c r="G88" s="6" t="s">
        <v>1</v>
      </c>
      <c r="H88" s="5">
        <v>66.94380000000001</v>
      </c>
      <c r="I88" s="6" t="s">
        <v>78</v>
      </c>
      <c r="J88" s="5">
        <v>1.7388000000000001</v>
      </c>
      <c r="K88" s="4"/>
      <c r="L88" s="4"/>
      <c r="M88" s="227"/>
      <c r="O88" s="3"/>
      <c r="R88" s="3"/>
    </row>
    <row r="89" spans="2:18" ht="12.75" customHeight="1">
      <c r="B89" s="227"/>
      <c r="C89" s="227"/>
      <c r="D89" s="227"/>
      <c r="E89" s="227"/>
      <c r="F89" s="227"/>
      <c r="G89" s="6" t="s">
        <v>0</v>
      </c>
      <c r="H89" s="5">
        <v>22.314600000000002</v>
      </c>
      <c r="I89" s="6" t="s">
        <v>65</v>
      </c>
      <c r="J89" s="5">
        <v>36.804600000000001</v>
      </c>
      <c r="K89" s="4"/>
      <c r="L89" s="4"/>
      <c r="M89" s="227"/>
      <c r="O89" s="3"/>
      <c r="R89" s="3"/>
    </row>
    <row r="90" spans="2:18" ht="12.75" customHeight="1">
      <c r="B90" s="228"/>
      <c r="C90" s="228"/>
      <c r="D90" s="228"/>
      <c r="E90" s="228"/>
      <c r="F90" s="228"/>
      <c r="G90" s="4"/>
      <c r="H90" s="4"/>
      <c r="I90" s="4" t="s">
        <v>48</v>
      </c>
      <c r="J90" s="5">
        <v>188.37</v>
      </c>
      <c r="K90" s="4"/>
      <c r="L90" s="4"/>
      <c r="M90" s="228"/>
      <c r="O90" s="3"/>
      <c r="R90" s="3"/>
    </row>
    <row r="91" spans="2:18" ht="12.75" customHeight="1">
      <c r="B91" s="231">
        <v>34</v>
      </c>
      <c r="C91" s="226" t="s">
        <v>47</v>
      </c>
      <c r="D91" s="230">
        <v>2933.48</v>
      </c>
      <c r="E91" s="226" t="s">
        <v>46</v>
      </c>
      <c r="F91" s="231">
        <v>2</v>
      </c>
      <c r="G91" s="6" t="s">
        <v>5</v>
      </c>
      <c r="H91" s="5">
        <v>32.854976000000001</v>
      </c>
      <c r="I91" s="6" t="s">
        <v>45</v>
      </c>
      <c r="J91" s="5">
        <v>2933.48</v>
      </c>
      <c r="K91" s="6" t="s">
        <v>44</v>
      </c>
      <c r="L91" s="5">
        <v>821.37440000000004</v>
      </c>
      <c r="M91" s="226" t="s">
        <v>94</v>
      </c>
      <c r="O91" s="3"/>
      <c r="R91" s="3"/>
    </row>
    <row r="92" spans="2:18" ht="12.75" customHeight="1">
      <c r="B92" s="227"/>
      <c r="C92" s="227"/>
      <c r="D92" s="227"/>
      <c r="E92" s="227"/>
      <c r="F92" s="227"/>
      <c r="G92" s="6" t="s">
        <v>42</v>
      </c>
      <c r="H92" s="5">
        <v>32.854976000000001</v>
      </c>
      <c r="I92" s="6" t="s">
        <v>41</v>
      </c>
      <c r="J92" s="5">
        <v>82.137439999999998</v>
      </c>
      <c r="K92" s="6" t="s">
        <v>40</v>
      </c>
      <c r="L92" s="5">
        <v>821.37440000000004</v>
      </c>
      <c r="M92" s="227"/>
      <c r="O92" s="3"/>
      <c r="R92" s="3"/>
    </row>
    <row r="93" spans="2:18" ht="12.75" customHeight="1">
      <c r="B93" s="227"/>
      <c r="C93" s="227"/>
      <c r="D93" s="227"/>
      <c r="E93" s="227"/>
      <c r="F93" s="227"/>
      <c r="G93" s="6" t="s">
        <v>1</v>
      </c>
      <c r="H93" s="5">
        <v>3.2854976000000002</v>
      </c>
      <c r="I93" s="4"/>
      <c r="J93" s="4"/>
      <c r="K93" s="4"/>
      <c r="L93" s="4"/>
      <c r="M93" s="227"/>
      <c r="O93" s="3"/>
      <c r="R93" s="3"/>
    </row>
    <row r="94" spans="2:18" ht="12.75" customHeight="1">
      <c r="B94" s="228"/>
      <c r="C94" s="228"/>
      <c r="D94" s="228"/>
      <c r="E94" s="228"/>
      <c r="F94" s="228"/>
      <c r="G94" s="6" t="s">
        <v>0</v>
      </c>
      <c r="H94" s="5">
        <v>3.2854976000000002</v>
      </c>
      <c r="I94" s="4"/>
      <c r="J94" s="4"/>
      <c r="K94" s="4"/>
      <c r="L94" s="4"/>
      <c r="M94" s="228"/>
      <c r="O94" s="3"/>
      <c r="R94" s="3"/>
    </row>
    <row r="95" spans="2:18" ht="12.75" customHeight="1">
      <c r="B95" s="231">
        <v>35</v>
      </c>
      <c r="C95" s="226" t="s">
        <v>39</v>
      </c>
      <c r="D95" s="230">
        <v>24.9</v>
      </c>
      <c r="E95" s="226" t="s">
        <v>38</v>
      </c>
      <c r="F95" s="231">
        <v>2</v>
      </c>
      <c r="G95" s="6" t="s">
        <v>5</v>
      </c>
      <c r="H95" s="5">
        <v>174.29999999999998</v>
      </c>
      <c r="I95" s="6" t="s">
        <v>10</v>
      </c>
      <c r="J95" s="5">
        <v>10159.199999999999</v>
      </c>
      <c r="K95" s="8" t="s">
        <v>37</v>
      </c>
      <c r="L95" s="5">
        <v>25.709249999999997</v>
      </c>
      <c r="M95" s="226" t="s">
        <v>93</v>
      </c>
      <c r="O95" s="3"/>
      <c r="R95" s="3"/>
    </row>
    <row r="96" spans="2:18" ht="12.75" customHeight="1">
      <c r="B96" s="227"/>
      <c r="C96" s="227"/>
      <c r="D96" s="227"/>
      <c r="E96" s="227"/>
      <c r="F96" s="227"/>
      <c r="G96" s="6" t="s">
        <v>35</v>
      </c>
      <c r="H96" s="5">
        <v>43.574999999999996</v>
      </c>
      <c r="I96" s="6" t="s">
        <v>34</v>
      </c>
      <c r="J96" s="5">
        <v>15662.099999999999</v>
      </c>
      <c r="K96" s="4"/>
      <c r="L96" s="4"/>
      <c r="M96" s="227"/>
      <c r="O96" s="3"/>
      <c r="R96" s="3"/>
    </row>
    <row r="97" spans="2:18" ht="12.75" customHeight="1">
      <c r="B97" s="227"/>
      <c r="C97" s="227"/>
      <c r="D97" s="227"/>
      <c r="E97" s="227"/>
      <c r="F97" s="227"/>
      <c r="G97" s="6" t="s">
        <v>1</v>
      </c>
      <c r="H97" s="5">
        <v>4.3574999999999999</v>
      </c>
      <c r="I97" s="6" t="s">
        <v>33</v>
      </c>
      <c r="J97" s="5">
        <v>25124.1</v>
      </c>
      <c r="K97" s="4"/>
      <c r="L97" s="4"/>
      <c r="M97" s="227"/>
      <c r="O97" s="3"/>
      <c r="R97" s="3"/>
    </row>
    <row r="98" spans="2:18" ht="12.75" customHeight="1">
      <c r="B98" s="227"/>
      <c r="C98" s="227"/>
      <c r="D98" s="227"/>
      <c r="E98" s="227"/>
      <c r="F98" s="227"/>
      <c r="G98" s="6" t="s">
        <v>0</v>
      </c>
      <c r="H98" s="5">
        <v>17.43</v>
      </c>
      <c r="I98" s="6" t="s">
        <v>32</v>
      </c>
      <c r="J98" s="5">
        <v>5029.7999999999993</v>
      </c>
      <c r="K98" s="4"/>
      <c r="L98" s="4"/>
      <c r="M98" s="227"/>
      <c r="O98" s="3"/>
      <c r="R98" s="3"/>
    </row>
    <row r="99" spans="2:18" ht="12.75" customHeight="1">
      <c r="B99" s="228"/>
      <c r="C99" s="228"/>
      <c r="D99" s="228"/>
      <c r="E99" s="228"/>
      <c r="F99" s="228"/>
      <c r="G99" s="4"/>
      <c r="H99" s="4"/>
      <c r="I99" s="6" t="s">
        <v>31</v>
      </c>
      <c r="J99" s="5">
        <v>2539.7999999999997</v>
      </c>
      <c r="K99" s="4"/>
      <c r="L99" s="4"/>
      <c r="M99" s="228"/>
      <c r="O99" s="3"/>
      <c r="R99" s="3"/>
    </row>
    <row r="100" spans="2:18" ht="12.75" customHeight="1">
      <c r="B100" s="231">
        <v>36</v>
      </c>
      <c r="C100" s="226" t="s">
        <v>30</v>
      </c>
      <c r="D100" s="230">
        <v>289.8</v>
      </c>
      <c r="E100" s="226" t="s">
        <v>6</v>
      </c>
      <c r="F100" s="231">
        <v>1</v>
      </c>
      <c r="G100" s="6" t="s">
        <v>5</v>
      </c>
      <c r="H100" s="5">
        <v>121.71599999999999</v>
      </c>
      <c r="I100" s="4"/>
      <c r="J100" s="4"/>
      <c r="K100" s="4"/>
      <c r="L100" s="4"/>
      <c r="M100" s="226" t="s">
        <v>92</v>
      </c>
      <c r="O100" s="3"/>
      <c r="R100" s="3"/>
    </row>
    <row r="101" spans="2:18" ht="12.75" customHeight="1">
      <c r="B101" s="228"/>
      <c r="C101" s="228"/>
      <c r="D101" s="228"/>
      <c r="E101" s="228"/>
      <c r="F101" s="228"/>
      <c r="G101" s="6" t="s">
        <v>0</v>
      </c>
      <c r="H101" s="5">
        <v>12.171600000000002</v>
      </c>
      <c r="I101" s="4"/>
      <c r="J101" s="4"/>
      <c r="K101" s="4"/>
      <c r="L101" s="4"/>
      <c r="M101" s="228"/>
      <c r="O101" s="3"/>
      <c r="R101" s="3"/>
    </row>
    <row r="102" spans="2:18" ht="12.75" customHeight="1">
      <c r="B102" s="7">
        <v>37</v>
      </c>
      <c r="C102" s="229" t="s">
        <v>74</v>
      </c>
      <c r="D102" s="216"/>
      <c r="E102" s="216"/>
      <c r="F102" s="216"/>
      <c r="G102" s="216"/>
      <c r="H102" s="216"/>
      <c r="I102" s="216"/>
      <c r="J102" s="216"/>
      <c r="K102" s="216"/>
      <c r="L102" s="216"/>
      <c r="M102" s="217"/>
      <c r="O102" s="3"/>
      <c r="R102" s="3"/>
    </row>
    <row r="103" spans="2:18" ht="12.75" customHeight="1">
      <c r="B103" s="231">
        <v>38</v>
      </c>
      <c r="C103" s="226" t="s">
        <v>55</v>
      </c>
      <c r="D103" s="230">
        <v>322.56</v>
      </c>
      <c r="E103" s="226" t="s">
        <v>6</v>
      </c>
      <c r="F103" s="231">
        <v>1</v>
      </c>
      <c r="G103" s="6" t="s">
        <v>5</v>
      </c>
      <c r="H103" s="5">
        <v>1490.23</v>
      </c>
      <c r="I103" s="6" t="s">
        <v>91</v>
      </c>
      <c r="J103" s="5">
        <v>129.02000000000001</v>
      </c>
      <c r="K103" s="4"/>
      <c r="L103" s="4"/>
      <c r="M103" s="226" t="s">
        <v>90</v>
      </c>
      <c r="O103" s="3"/>
      <c r="R103" s="3"/>
    </row>
    <row r="104" spans="2:18" ht="12.75" customHeight="1">
      <c r="B104" s="227"/>
      <c r="C104" s="227"/>
      <c r="D104" s="227"/>
      <c r="E104" s="227"/>
      <c r="F104" s="227"/>
      <c r="G104" s="6" t="s">
        <v>2</v>
      </c>
      <c r="H104" s="5">
        <v>745.11</v>
      </c>
      <c r="I104" s="6" t="s">
        <v>17</v>
      </c>
      <c r="J104" s="5">
        <v>64.510000000000005</v>
      </c>
      <c r="K104" s="4"/>
      <c r="L104" s="4"/>
      <c r="M104" s="227"/>
      <c r="O104" s="3"/>
      <c r="R104" s="3"/>
    </row>
    <row r="105" spans="2:18" ht="12.75" customHeight="1">
      <c r="B105" s="227"/>
      <c r="C105" s="227"/>
      <c r="D105" s="227"/>
      <c r="E105" s="227"/>
      <c r="F105" s="227"/>
      <c r="G105" s="6" t="s">
        <v>1</v>
      </c>
      <c r="H105" s="5">
        <v>74.510000000000005</v>
      </c>
      <c r="I105" s="6" t="s">
        <v>66</v>
      </c>
      <c r="J105" s="5">
        <v>1.61</v>
      </c>
      <c r="K105" s="4"/>
      <c r="L105" s="4"/>
      <c r="M105" s="227"/>
      <c r="O105" s="3"/>
      <c r="R105" s="3"/>
    </row>
    <row r="106" spans="2:18" ht="12.75" customHeight="1">
      <c r="B106" s="227"/>
      <c r="C106" s="227"/>
      <c r="D106" s="227"/>
      <c r="E106" s="227"/>
      <c r="F106" s="227"/>
      <c r="G106" s="6" t="s">
        <v>0</v>
      </c>
      <c r="H106" s="5">
        <v>24.84</v>
      </c>
      <c r="I106" s="6" t="s">
        <v>65</v>
      </c>
      <c r="J106" s="5">
        <v>40.97</v>
      </c>
      <c r="K106" s="4"/>
      <c r="L106" s="4"/>
      <c r="M106" s="227"/>
      <c r="O106" s="3"/>
      <c r="R106" s="3"/>
    </row>
    <row r="107" spans="2:18" ht="12.75" customHeight="1">
      <c r="B107" s="228"/>
      <c r="C107" s="228"/>
      <c r="D107" s="228"/>
      <c r="E107" s="228"/>
      <c r="F107" s="228"/>
      <c r="G107" s="4"/>
      <c r="H107" s="4"/>
      <c r="I107" s="4" t="s">
        <v>48</v>
      </c>
      <c r="J107" s="5">
        <v>209.66</v>
      </c>
      <c r="K107" s="4"/>
      <c r="L107" s="4"/>
      <c r="M107" s="228"/>
      <c r="O107" s="3"/>
      <c r="R107" s="3"/>
    </row>
    <row r="108" spans="2:18" ht="12.75" customHeight="1">
      <c r="B108" s="231">
        <v>39</v>
      </c>
      <c r="C108" s="226" t="s">
        <v>47</v>
      </c>
      <c r="D108" s="230">
        <v>5573</v>
      </c>
      <c r="E108" s="226" t="s">
        <v>46</v>
      </c>
      <c r="F108" s="231">
        <v>3</v>
      </c>
      <c r="G108" s="6" t="s">
        <v>5</v>
      </c>
      <c r="H108" s="5">
        <v>62.4176</v>
      </c>
      <c r="I108" s="6" t="s">
        <v>45</v>
      </c>
      <c r="J108" s="5">
        <v>5573</v>
      </c>
      <c r="K108" s="6" t="s">
        <v>44</v>
      </c>
      <c r="L108" s="5">
        <v>1560.44</v>
      </c>
      <c r="M108" s="226" t="s">
        <v>89</v>
      </c>
      <c r="O108" s="3"/>
      <c r="R108" s="3"/>
    </row>
    <row r="109" spans="2:18" ht="12.75" customHeight="1">
      <c r="B109" s="227"/>
      <c r="C109" s="227"/>
      <c r="D109" s="227"/>
      <c r="E109" s="227"/>
      <c r="F109" s="227"/>
      <c r="G109" s="6" t="s">
        <v>42</v>
      </c>
      <c r="H109" s="5">
        <v>62.4176</v>
      </c>
      <c r="I109" s="6" t="s">
        <v>41</v>
      </c>
      <c r="J109" s="5">
        <v>156.04400000000001</v>
      </c>
      <c r="K109" s="6" t="s">
        <v>40</v>
      </c>
      <c r="L109" s="5">
        <v>1560.44</v>
      </c>
      <c r="M109" s="227"/>
      <c r="O109" s="3"/>
      <c r="R109" s="3"/>
    </row>
    <row r="110" spans="2:18" ht="12.75" customHeight="1">
      <c r="B110" s="227"/>
      <c r="C110" s="227"/>
      <c r="D110" s="227"/>
      <c r="E110" s="227"/>
      <c r="F110" s="227"/>
      <c r="G110" s="6" t="s">
        <v>1</v>
      </c>
      <c r="H110" s="5">
        <v>6.2417600000000011</v>
      </c>
      <c r="I110" s="4"/>
      <c r="J110" s="4"/>
      <c r="K110" s="4"/>
      <c r="L110" s="4"/>
      <c r="M110" s="227"/>
      <c r="O110" s="3"/>
      <c r="R110" s="3"/>
    </row>
    <row r="111" spans="2:18" ht="12.75" customHeight="1">
      <c r="B111" s="228"/>
      <c r="C111" s="228"/>
      <c r="D111" s="228"/>
      <c r="E111" s="228"/>
      <c r="F111" s="228"/>
      <c r="G111" s="6" t="s">
        <v>0</v>
      </c>
      <c r="H111" s="5">
        <v>6.2417600000000011</v>
      </c>
      <c r="I111" s="4"/>
      <c r="J111" s="4"/>
      <c r="K111" s="4"/>
      <c r="L111" s="4"/>
      <c r="M111" s="228"/>
      <c r="O111" s="3"/>
      <c r="R111" s="3"/>
    </row>
    <row r="112" spans="2:18" ht="12.75" customHeight="1">
      <c r="B112" s="231">
        <v>40</v>
      </c>
      <c r="C112" s="226" t="s">
        <v>39</v>
      </c>
      <c r="D112" s="230">
        <v>23.33</v>
      </c>
      <c r="E112" s="226" t="s">
        <v>38</v>
      </c>
      <c r="F112" s="231">
        <v>1</v>
      </c>
      <c r="G112" s="6" t="s">
        <v>5</v>
      </c>
      <c r="H112" s="5">
        <v>163.31</v>
      </c>
      <c r="I112" s="6" t="s">
        <v>10</v>
      </c>
      <c r="J112" s="5">
        <v>9518.64</v>
      </c>
      <c r="K112" s="8" t="s">
        <v>37</v>
      </c>
      <c r="L112" s="5">
        <v>24.09</v>
      </c>
      <c r="M112" s="226" t="s">
        <v>88</v>
      </c>
      <c r="O112" s="3"/>
      <c r="R112" s="3"/>
    </row>
    <row r="113" spans="2:18" ht="12.75" customHeight="1">
      <c r="B113" s="227"/>
      <c r="C113" s="227"/>
      <c r="D113" s="227"/>
      <c r="E113" s="227"/>
      <c r="F113" s="227"/>
      <c r="G113" s="6" t="s">
        <v>35</v>
      </c>
      <c r="H113" s="5">
        <v>40.83</v>
      </c>
      <c r="I113" s="6" t="s">
        <v>34</v>
      </c>
      <c r="J113" s="5">
        <v>14674.57</v>
      </c>
      <c r="K113" s="4"/>
      <c r="L113" s="4"/>
      <c r="M113" s="227"/>
      <c r="O113" s="3"/>
      <c r="R113" s="3"/>
    </row>
    <row r="114" spans="2:18" ht="12.75" customHeight="1">
      <c r="B114" s="227"/>
      <c r="C114" s="227"/>
      <c r="D114" s="227"/>
      <c r="E114" s="227"/>
      <c r="F114" s="227"/>
      <c r="G114" s="6" t="s">
        <v>1</v>
      </c>
      <c r="H114" s="5">
        <v>4.08</v>
      </c>
      <c r="I114" s="6" t="s">
        <v>33</v>
      </c>
      <c r="J114" s="5">
        <v>23539.97</v>
      </c>
      <c r="K114" s="4"/>
      <c r="L114" s="4"/>
      <c r="M114" s="227"/>
      <c r="O114" s="3"/>
      <c r="R114" s="3"/>
    </row>
    <row r="115" spans="2:18" ht="12.75" customHeight="1">
      <c r="B115" s="227"/>
      <c r="C115" s="227"/>
      <c r="D115" s="227"/>
      <c r="E115" s="227"/>
      <c r="F115" s="227"/>
      <c r="G115" s="6" t="s">
        <v>0</v>
      </c>
      <c r="H115" s="5">
        <v>16.329999999999998</v>
      </c>
      <c r="I115" s="6" t="s">
        <v>32</v>
      </c>
      <c r="J115" s="5">
        <v>4712.66</v>
      </c>
      <c r="K115" s="4"/>
      <c r="L115" s="4"/>
      <c r="M115" s="227"/>
      <c r="O115" s="3"/>
      <c r="R115" s="3"/>
    </row>
    <row r="116" spans="2:18" ht="12.75" customHeight="1">
      <c r="B116" s="228"/>
      <c r="C116" s="228"/>
      <c r="D116" s="228"/>
      <c r="E116" s="228"/>
      <c r="F116" s="228"/>
      <c r="G116" s="4"/>
      <c r="H116" s="4"/>
      <c r="I116" s="6" t="s">
        <v>31</v>
      </c>
      <c r="J116" s="5">
        <v>2379.66</v>
      </c>
      <c r="K116" s="4"/>
      <c r="L116" s="4"/>
      <c r="M116" s="228"/>
      <c r="O116" s="3"/>
      <c r="R116" s="3"/>
    </row>
    <row r="117" spans="2:18" ht="12.75" customHeight="1">
      <c r="B117" s="231">
        <v>41</v>
      </c>
      <c r="C117" s="226" t="s">
        <v>30</v>
      </c>
      <c r="D117" s="230">
        <v>322.56</v>
      </c>
      <c r="E117" s="226" t="s">
        <v>6</v>
      </c>
      <c r="F117" s="231">
        <v>1</v>
      </c>
      <c r="G117" s="6" t="s">
        <v>5</v>
      </c>
      <c r="H117" s="317">
        <v>135.47999999999999</v>
      </c>
      <c r="I117" s="4"/>
      <c r="J117" s="4"/>
      <c r="K117" s="4"/>
      <c r="L117" s="4"/>
      <c r="M117" s="226" t="s">
        <v>87</v>
      </c>
      <c r="O117" s="3"/>
      <c r="R117" s="3"/>
    </row>
    <row r="118" spans="2:18" ht="12.75" customHeight="1">
      <c r="B118" s="228"/>
      <c r="C118" s="228"/>
      <c r="D118" s="228"/>
      <c r="E118" s="228"/>
      <c r="F118" s="228"/>
      <c r="G118" s="6" t="s">
        <v>0</v>
      </c>
      <c r="H118" s="317">
        <v>13.55</v>
      </c>
      <c r="I118" s="4"/>
      <c r="J118" s="4"/>
      <c r="K118" s="4"/>
      <c r="L118" s="4"/>
      <c r="M118" s="228"/>
      <c r="O118" s="3"/>
      <c r="R118" s="3"/>
    </row>
    <row r="119" spans="2:18" ht="12.75" customHeight="1">
      <c r="B119" s="7">
        <v>42</v>
      </c>
      <c r="C119" s="229" t="s">
        <v>22</v>
      </c>
      <c r="D119" s="216"/>
      <c r="E119" s="216"/>
      <c r="F119" s="216"/>
      <c r="G119" s="216"/>
      <c r="H119" s="216"/>
      <c r="I119" s="216"/>
      <c r="J119" s="216"/>
      <c r="K119" s="216"/>
      <c r="L119" s="216"/>
      <c r="M119" s="217"/>
      <c r="O119" s="3"/>
      <c r="R119" s="3"/>
    </row>
    <row r="120" spans="2:18" ht="12.75" customHeight="1">
      <c r="B120" s="7">
        <v>43</v>
      </c>
      <c r="C120" s="229" t="s">
        <v>86</v>
      </c>
      <c r="D120" s="216"/>
      <c r="E120" s="216"/>
      <c r="F120" s="216"/>
      <c r="G120" s="216"/>
      <c r="H120" s="216"/>
      <c r="I120" s="216"/>
      <c r="J120" s="216"/>
      <c r="K120" s="216"/>
      <c r="L120" s="216"/>
      <c r="M120" s="217"/>
      <c r="O120" s="3"/>
      <c r="R120" s="3"/>
    </row>
    <row r="121" spans="2:18" ht="12.75" customHeight="1">
      <c r="B121" s="231">
        <v>44</v>
      </c>
      <c r="C121" s="226" t="s">
        <v>55</v>
      </c>
      <c r="D121" s="230">
        <v>468.06</v>
      </c>
      <c r="E121" s="226" t="s">
        <v>6</v>
      </c>
      <c r="F121" s="231">
        <v>1</v>
      </c>
      <c r="G121" s="6" t="s">
        <v>5</v>
      </c>
      <c r="H121" s="5">
        <v>2162.4371999999998</v>
      </c>
      <c r="I121" s="6" t="s">
        <v>85</v>
      </c>
      <c r="J121" s="5">
        <v>187.22400000000002</v>
      </c>
      <c r="K121" s="4"/>
      <c r="L121" s="4"/>
      <c r="M121" s="226" t="s">
        <v>84</v>
      </c>
      <c r="O121" s="3"/>
      <c r="R121" s="3"/>
    </row>
    <row r="122" spans="2:18" ht="12.75" customHeight="1">
      <c r="B122" s="227"/>
      <c r="C122" s="227"/>
      <c r="D122" s="227"/>
      <c r="E122" s="227"/>
      <c r="F122" s="227"/>
      <c r="G122" s="6" t="s">
        <v>2</v>
      </c>
      <c r="H122" s="5">
        <v>1081.2185999999999</v>
      </c>
      <c r="I122" s="6" t="s">
        <v>17</v>
      </c>
      <c r="J122" s="5">
        <v>93.612000000000009</v>
      </c>
      <c r="K122" s="4"/>
      <c r="L122" s="4"/>
      <c r="M122" s="227"/>
      <c r="O122" s="3"/>
      <c r="R122" s="3"/>
    </row>
    <row r="123" spans="2:18" ht="12.75" customHeight="1">
      <c r="B123" s="227"/>
      <c r="C123" s="227"/>
      <c r="D123" s="227"/>
      <c r="E123" s="227"/>
      <c r="F123" s="227"/>
      <c r="G123" s="6" t="s">
        <v>1</v>
      </c>
      <c r="H123" s="5">
        <v>108.12186000000001</v>
      </c>
      <c r="I123" s="6" t="s">
        <v>66</v>
      </c>
      <c r="J123" s="5">
        <v>2.3403</v>
      </c>
      <c r="K123" s="4"/>
      <c r="L123" s="4"/>
      <c r="M123" s="227"/>
      <c r="O123" s="3"/>
      <c r="R123" s="3"/>
    </row>
    <row r="124" spans="2:18" ht="12.75" customHeight="1">
      <c r="B124" s="227"/>
      <c r="C124" s="227"/>
      <c r="D124" s="227"/>
      <c r="E124" s="227"/>
      <c r="F124" s="227"/>
      <c r="G124" s="6" t="s">
        <v>0</v>
      </c>
      <c r="H124" s="5">
        <v>36.040619999999997</v>
      </c>
      <c r="I124" s="6" t="s">
        <v>65</v>
      </c>
      <c r="J124" s="5">
        <v>59.443620000000003</v>
      </c>
      <c r="K124" s="4"/>
      <c r="L124" s="4"/>
      <c r="M124" s="227"/>
      <c r="O124" s="3"/>
      <c r="R124" s="3"/>
    </row>
    <row r="125" spans="2:18" ht="12.75" customHeight="1">
      <c r="B125" s="228"/>
      <c r="C125" s="228"/>
      <c r="D125" s="228"/>
      <c r="E125" s="228"/>
      <c r="F125" s="228"/>
      <c r="G125" s="4"/>
      <c r="H125" s="4"/>
      <c r="I125" s="4" t="s">
        <v>48</v>
      </c>
      <c r="J125" s="5">
        <v>912.71699999999998</v>
      </c>
      <c r="K125" s="4"/>
      <c r="L125" s="4"/>
      <c r="M125" s="228"/>
      <c r="O125" s="3"/>
      <c r="R125" s="3"/>
    </row>
    <row r="126" spans="2:18" ht="12.75" customHeight="1">
      <c r="B126" s="231">
        <v>45</v>
      </c>
      <c r="C126" s="226" t="s">
        <v>47</v>
      </c>
      <c r="D126" s="230">
        <v>8828.7900000000009</v>
      </c>
      <c r="E126" s="226" t="s">
        <v>46</v>
      </c>
      <c r="F126" s="231">
        <v>4</v>
      </c>
      <c r="G126" s="6" t="s">
        <v>5</v>
      </c>
      <c r="H126" s="5">
        <v>98.882448000000011</v>
      </c>
      <c r="I126" s="6" t="s">
        <v>45</v>
      </c>
      <c r="J126" s="5">
        <v>8828.7900000000009</v>
      </c>
      <c r="K126" s="6" t="s">
        <v>44</v>
      </c>
      <c r="L126" s="5">
        <v>2472.0612000000001</v>
      </c>
      <c r="M126" s="226" t="s">
        <v>83</v>
      </c>
      <c r="O126" s="3"/>
      <c r="R126" s="3"/>
    </row>
    <row r="127" spans="2:18" ht="12.75" customHeight="1">
      <c r="B127" s="227"/>
      <c r="C127" s="227"/>
      <c r="D127" s="227"/>
      <c r="E127" s="227"/>
      <c r="F127" s="227"/>
      <c r="G127" s="6" t="s">
        <v>42</v>
      </c>
      <c r="H127" s="5">
        <v>98.882448000000011</v>
      </c>
      <c r="I127" s="6" t="s">
        <v>41</v>
      </c>
      <c r="J127" s="5">
        <v>247.20612000000003</v>
      </c>
      <c r="K127" s="6" t="s">
        <v>40</v>
      </c>
      <c r="L127" s="5">
        <v>2472.0612000000001</v>
      </c>
      <c r="M127" s="227"/>
      <c r="O127" s="3"/>
      <c r="R127" s="3"/>
    </row>
    <row r="128" spans="2:18" ht="12.75" customHeight="1">
      <c r="B128" s="227"/>
      <c r="C128" s="227"/>
      <c r="D128" s="227"/>
      <c r="E128" s="227"/>
      <c r="F128" s="227"/>
      <c r="G128" s="6" t="s">
        <v>1</v>
      </c>
      <c r="H128" s="5">
        <v>9.8882448000000025</v>
      </c>
      <c r="I128" s="4"/>
      <c r="J128" s="4"/>
      <c r="K128" s="4"/>
      <c r="L128" s="4"/>
      <c r="M128" s="227"/>
      <c r="O128" s="3"/>
      <c r="R128" s="3"/>
    </row>
    <row r="129" spans="2:18" ht="12.75" customHeight="1">
      <c r="B129" s="228"/>
      <c r="C129" s="228"/>
      <c r="D129" s="228"/>
      <c r="E129" s="228"/>
      <c r="F129" s="228"/>
      <c r="G129" s="6" t="s">
        <v>0</v>
      </c>
      <c r="H129" s="5">
        <v>9.8882448000000025</v>
      </c>
      <c r="I129" s="4"/>
      <c r="J129" s="4"/>
      <c r="K129" s="4"/>
      <c r="L129" s="4"/>
      <c r="M129" s="228"/>
      <c r="O129" s="3"/>
      <c r="R129" s="3"/>
    </row>
    <row r="130" spans="2:18" ht="12.75" customHeight="1">
      <c r="B130" s="231">
        <v>46</v>
      </c>
      <c r="C130" s="226" t="s">
        <v>39</v>
      </c>
      <c r="D130" s="230">
        <v>112.34</v>
      </c>
      <c r="E130" s="226" t="s">
        <v>38</v>
      </c>
      <c r="F130" s="231">
        <v>1</v>
      </c>
      <c r="G130" s="6" t="s">
        <v>5</v>
      </c>
      <c r="H130" s="5">
        <v>786.38</v>
      </c>
      <c r="I130" s="6" t="s">
        <v>10</v>
      </c>
      <c r="J130" s="5">
        <v>45834.720000000001</v>
      </c>
      <c r="K130" s="8" t="s">
        <v>37</v>
      </c>
      <c r="L130" s="5">
        <v>115.99104999999999</v>
      </c>
      <c r="M130" s="226" t="s">
        <v>82</v>
      </c>
      <c r="O130" s="3"/>
      <c r="R130" s="3"/>
    </row>
    <row r="131" spans="2:18" ht="12.75" customHeight="1">
      <c r="B131" s="227"/>
      <c r="C131" s="227"/>
      <c r="D131" s="227"/>
      <c r="E131" s="227"/>
      <c r="F131" s="227"/>
      <c r="G131" s="6" t="s">
        <v>35</v>
      </c>
      <c r="H131" s="5">
        <v>196.595</v>
      </c>
      <c r="I131" s="6" t="s">
        <v>34</v>
      </c>
      <c r="J131" s="5">
        <v>70661.86</v>
      </c>
      <c r="K131" s="4"/>
      <c r="L131" s="4"/>
      <c r="M131" s="227"/>
      <c r="O131" s="3"/>
      <c r="R131" s="3"/>
    </row>
    <row r="132" spans="2:18" ht="12.75" customHeight="1">
      <c r="B132" s="227"/>
      <c r="C132" s="227"/>
      <c r="D132" s="227"/>
      <c r="E132" s="227"/>
      <c r="F132" s="227"/>
      <c r="G132" s="6" t="s">
        <v>1</v>
      </c>
      <c r="H132" s="5">
        <v>19.659500000000001</v>
      </c>
      <c r="I132" s="6" t="s">
        <v>33</v>
      </c>
      <c r="J132" s="5">
        <v>113351.06</v>
      </c>
      <c r="K132" s="4"/>
      <c r="L132" s="4"/>
      <c r="M132" s="227"/>
      <c r="O132" s="3"/>
      <c r="R132" s="3"/>
    </row>
    <row r="133" spans="2:18" ht="12.75" customHeight="1">
      <c r="B133" s="227"/>
      <c r="C133" s="227"/>
      <c r="D133" s="227"/>
      <c r="E133" s="227"/>
      <c r="F133" s="227"/>
      <c r="G133" s="6" t="s">
        <v>0</v>
      </c>
      <c r="H133" s="5">
        <v>78.638000000000005</v>
      </c>
      <c r="I133" s="6" t="s">
        <v>32</v>
      </c>
      <c r="J133" s="5">
        <v>22692.68</v>
      </c>
      <c r="K133" s="4"/>
      <c r="L133" s="4"/>
      <c r="M133" s="227"/>
      <c r="O133" s="3"/>
      <c r="R133" s="3"/>
    </row>
    <row r="134" spans="2:18" ht="12.75" customHeight="1">
      <c r="B134" s="228"/>
      <c r="C134" s="228"/>
      <c r="D134" s="228"/>
      <c r="E134" s="228"/>
      <c r="F134" s="228"/>
      <c r="G134" s="4"/>
      <c r="H134" s="4"/>
      <c r="I134" s="6" t="s">
        <v>31</v>
      </c>
      <c r="J134" s="5">
        <v>11458.68</v>
      </c>
      <c r="K134" s="4"/>
      <c r="L134" s="4"/>
      <c r="M134" s="228"/>
      <c r="O134" s="3"/>
      <c r="R134" s="3"/>
    </row>
    <row r="135" spans="2:18" ht="12.75" customHeight="1">
      <c r="B135" s="231">
        <v>47</v>
      </c>
      <c r="C135" s="226" t="s">
        <v>30</v>
      </c>
      <c r="D135" s="230">
        <v>468.06</v>
      </c>
      <c r="E135" s="226" t="s">
        <v>6</v>
      </c>
      <c r="F135" s="231">
        <v>1</v>
      </c>
      <c r="G135" s="6" t="s">
        <v>5</v>
      </c>
      <c r="H135" s="5">
        <v>196.58519999999999</v>
      </c>
      <c r="I135" s="4"/>
      <c r="J135" s="4"/>
      <c r="K135" s="4"/>
      <c r="L135" s="4"/>
      <c r="M135" s="226" t="s">
        <v>81</v>
      </c>
      <c r="O135" s="3"/>
      <c r="R135" s="3"/>
    </row>
    <row r="136" spans="2:18" ht="12.75" customHeight="1">
      <c r="B136" s="228"/>
      <c r="C136" s="228"/>
      <c r="D136" s="228"/>
      <c r="E136" s="228"/>
      <c r="F136" s="228"/>
      <c r="G136" s="6" t="s">
        <v>0</v>
      </c>
      <c r="H136" s="5">
        <v>19.658520000000003</v>
      </c>
      <c r="I136" s="4"/>
      <c r="J136" s="4"/>
      <c r="K136" s="4"/>
      <c r="L136" s="4"/>
      <c r="M136" s="228"/>
      <c r="O136" s="3"/>
      <c r="R136" s="3"/>
    </row>
    <row r="137" spans="2:18" ht="12.75" customHeight="1">
      <c r="B137" s="7">
        <v>48</v>
      </c>
      <c r="C137" s="229" t="s">
        <v>80</v>
      </c>
      <c r="D137" s="216"/>
      <c r="E137" s="216"/>
      <c r="F137" s="216"/>
      <c r="G137" s="216"/>
      <c r="H137" s="216"/>
      <c r="I137" s="216"/>
      <c r="J137" s="216"/>
      <c r="K137" s="216"/>
      <c r="L137" s="216"/>
      <c r="M137" s="217"/>
      <c r="O137" s="3"/>
      <c r="R137" s="3"/>
    </row>
    <row r="138" spans="2:18" ht="12.75" customHeight="1">
      <c r="B138" s="231">
        <v>49</v>
      </c>
      <c r="C138" s="226" t="s">
        <v>55</v>
      </c>
      <c r="D138" s="230">
        <v>289.8</v>
      </c>
      <c r="E138" s="226" t="s">
        <v>6</v>
      </c>
      <c r="F138" s="231">
        <v>1</v>
      </c>
      <c r="G138" s="6" t="s">
        <v>5</v>
      </c>
      <c r="H138" s="5">
        <v>1338.876</v>
      </c>
      <c r="I138" s="6" t="s">
        <v>79</v>
      </c>
      <c r="J138" s="5">
        <v>115.92000000000002</v>
      </c>
      <c r="K138" s="4"/>
      <c r="L138" s="4"/>
      <c r="M138" s="226" t="s">
        <v>70</v>
      </c>
      <c r="O138" s="3"/>
      <c r="R138" s="3"/>
    </row>
    <row r="139" spans="2:18" ht="12.75" customHeight="1">
      <c r="B139" s="227"/>
      <c r="C139" s="227"/>
      <c r="D139" s="227"/>
      <c r="E139" s="227"/>
      <c r="F139" s="227"/>
      <c r="G139" s="6" t="s">
        <v>2</v>
      </c>
      <c r="H139" s="5">
        <v>669.43799999999999</v>
      </c>
      <c r="I139" s="6" t="s">
        <v>17</v>
      </c>
      <c r="J139" s="5">
        <v>57.960000000000008</v>
      </c>
      <c r="K139" s="4"/>
      <c r="L139" s="4"/>
      <c r="M139" s="227"/>
      <c r="O139" s="3"/>
      <c r="R139" s="3"/>
    </row>
    <row r="140" spans="2:18" ht="12.75" customHeight="1">
      <c r="B140" s="227"/>
      <c r="C140" s="227"/>
      <c r="D140" s="227"/>
      <c r="E140" s="227"/>
      <c r="F140" s="227"/>
      <c r="G140" s="6" t="s">
        <v>1</v>
      </c>
      <c r="H140" s="5">
        <v>66.94380000000001</v>
      </c>
      <c r="I140" s="6" t="s">
        <v>78</v>
      </c>
      <c r="J140" s="5">
        <v>1.7388000000000001</v>
      </c>
      <c r="K140" s="4"/>
      <c r="L140" s="4"/>
      <c r="M140" s="227"/>
      <c r="O140" s="3"/>
      <c r="R140" s="3"/>
    </row>
    <row r="141" spans="2:18" ht="12.75" customHeight="1">
      <c r="B141" s="227"/>
      <c r="C141" s="227"/>
      <c r="D141" s="227"/>
      <c r="E141" s="227"/>
      <c r="F141" s="227"/>
      <c r="G141" s="6" t="s">
        <v>0</v>
      </c>
      <c r="H141" s="5">
        <v>22.314600000000002</v>
      </c>
      <c r="I141" s="6" t="s">
        <v>65</v>
      </c>
      <c r="J141" s="5">
        <v>36.804600000000001</v>
      </c>
      <c r="K141" s="4"/>
      <c r="L141" s="4"/>
      <c r="M141" s="227"/>
      <c r="O141" s="3"/>
      <c r="R141" s="3"/>
    </row>
    <row r="142" spans="2:18" ht="12.75" customHeight="1">
      <c r="B142" s="228"/>
      <c r="C142" s="228"/>
      <c r="D142" s="228"/>
      <c r="E142" s="228"/>
      <c r="F142" s="228"/>
      <c r="G142" s="4"/>
      <c r="H142" s="4"/>
      <c r="I142" s="4" t="s">
        <v>48</v>
      </c>
      <c r="J142" s="5">
        <v>188.37</v>
      </c>
      <c r="K142" s="4"/>
      <c r="L142" s="4"/>
      <c r="M142" s="228"/>
      <c r="O142" s="3"/>
      <c r="R142" s="3"/>
    </row>
    <row r="143" spans="2:18" ht="12.75" customHeight="1">
      <c r="B143" s="231">
        <v>50</v>
      </c>
      <c r="C143" s="226" t="s">
        <v>47</v>
      </c>
      <c r="D143" s="230">
        <v>2933.48</v>
      </c>
      <c r="E143" s="226" t="s">
        <v>46</v>
      </c>
      <c r="F143" s="231">
        <v>1</v>
      </c>
      <c r="G143" s="6" t="s">
        <v>5</v>
      </c>
      <c r="H143" s="5">
        <v>32.854976000000001</v>
      </c>
      <c r="I143" s="6" t="s">
        <v>45</v>
      </c>
      <c r="J143" s="5">
        <v>2933.48</v>
      </c>
      <c r="K143" s="6" t="s">
        <v>44</v>
      </c>
      <c r="L143" s="5">
        <v>821.37440000000004</v>
      </c>
      <c r="M143" s="226" t="s">
        <v>77</v>
      </c>
      <c r="O143" s="3"/>
      <c r="R143" s="3"/>
    </row>
    <row r="144" spans="2:18" ht="12.75" customHeight="1">
      <c r="B144" s="227"/>
      <c r="C144" s="227"/>
      <c r="D144" s="227"/>
      <c r="E144" s="227"/>
      <c r="F144" s="227"/>
      <c r="G144" s="6" t="s">
        <v>42</v>
      </c>
      <c r="H144" s="5">
        <v>32.854976000000001</v>
      </c>
      <c r="I144" s="6" t="s">
        <v>41</v>
      </c>
      <c r="J144" s="5">
        <v>82.137439999999998</v>
      </c>
      <c r="K144" s="6" t="s">
        <v>40</v>
      </c>
      <c r="L144" s="5">
        <v>821.37440000000004</v>
      </c>
      <c r="M144" s="227"/>
      <c r="O144" s="3"/>
      <c r="R144" s="3"/>
    </row>
    <row r="145" spans="2:18" ht="12.75" customHeight="1">
      <c r="B145" s="227"/>
      <c r="C145" s="227"/>
      <c r="D145" s="227"/>
      <c r="E145" s="227"/>
      <c r="F145" s="227"/>
      <c r="G145" s="6" t="s">
        <v>1</v>
      </c>
      <c r="H145" s="5">
        <v>3.2854976000000002</v>
      </c>
      <c r="I145" s="4"/>
      <c r="J145" s="4"/>
      <c r="K145" s="4"/>
      <c r="L145" s="4"/>
      <c r="M145" s="227"/>
      <c r="O145" s="3"/>
      <c r="R145" s="3"/>
    </row>
    <row r="146" spans="2:18" ht="12.75" customHeight="1">
      <c r="B146" s="228"/>
      <c r="C146" s="228"/>
      <c r="D146" s="228"/>
      <c r="E146" s="228"/>
      <c r="F146" s="228"/>
      <c r="G146" s="6" t="s">
        <v>0</v>
      </c>
      <c r="H146" s="5">
        <v>3.2854976000000002</v>
      </c>
      <c r="I146" s="4"/>
      <c r="J146" s="4"/>
      <c r="K146" s="4"/>
      <c r="L146" s="4"/>
      <c r="M146" s="228"/>
      <c r="O146" s="3"/>
      <c r="R146" s="3"/>
    </row>
    <row r="147" spans="2:18" ht="12.75" customHeight="1">
      <c r="B147" s="231">
        <v>51</v>
      </c>
      <c r="C147" s="226" t="s">
        <v>39</v>
      </c>
      <c r="D147" s="230">
        <v>24.9</v>
      </c>
      <c r="E147" s="226" t="s">
        <v>38</v>
      </c>
      <c r="F147" s="231">
        <v>1</v>
      </c>
      <c r="G147" s="6" t="s">
        <v>5</v>
      </c>
      <c r="H147" s="5">
        <v>174.29999999999998</v>
      </c>
      <c r="I147" s="6" t="s">
        <v>10</v>
      </c>
      <c r="J147" s="5">
        <v>10159.199999999999</v>
      </c>
      <c r="K147" s="8" t="s">
        <v>37</v>
      </c>
      <c r="L147" s="5">
        <v>25.709249999999997</v>
      </c>
      <c r="M147" s="226" t="s">
        <v>76</v>
      </c>
      <c r="O147" s="3"/>
      <c r="R147" s="3"/>
    </row>
    <row r="148" spans="2:18" ht="12.75" customHeight="1">
      <c r="B148" s="227"/>
      <c r="C148" s="227"/>
      <c r="D148" s="227"/>
      <c r="E148" s="227"/>
      <c r="F148" s="227"/>
      <c r="G148" s="6" t="s">
        <v>35</v>
      </c>
      <c r="H148" s="5">
        <v>43.574999999999996</v>
      </c>
      <c r="I148" s="6" t="s">
        <v>34</v>
      </c>
      <c r="J148" s="5">
        <v>15662.099999999999</v>
      </c>
      <c r="K148" s="4"/>
      <c r="L148" s="4"/>
      <c r="M148" s="227"/>
      <c r="O148" s="3"/>
      <c r="R148" s="3"/>
    </row>
    <row r="149" spans="2:18" ht="12.75" customHeight="1">
      <c r="B149" s="227"/>
      <c r="C149" s="227"/>
      <c r="D149" s="227"/>
      <c r="E149" s="227"/>
      <c r="F149" s="227"/>
      <c r="G149" s="6" t="s">
        <v>1</v>
      </c>
      <c r="H149" s="5">
        <v>4.3574999999999999</v>
      </c>
      <c r="I149" s="6" t="s">
        <v>33</v>
      </c>
      <c r="J149" s="5">
        <v>25124.1</v>
      </c>
      <c r="K149" s="4"/>
      <c r="L149" s="4"/>
      <c r="M149" s="227"/>
      <c r="O149" s="3"/>
      <c r="R149" s="3"/>
    </row>
    <row r="150" spans="2:18" ht="12.75" customHeight="1">
      <c r="B150" s="227"/>
      <c r="C150" s="227"/>
      <c r="D150" s="227"/>
      <c r="E150" s="227"/>
      <c r="F150" s="227"/>
      <c r="G150" s="6" t="s">
        <v>0</v>
      </c>
      <c r="H150" s="5">
        <v>17.43</v>
      </c>
      <c r="I150" s="6" t="s">
        <v>32</v>
      </c>
      <c r="J150" s="5">
        <v>5029.7999999999993</v>
      </c>
      <c r="K150" s="4"/>
      <c r="L150" s="4"/>
      <c r="M150" s="227"/>
      <c r="O150" s="3"/>
      <c r="R150" s="3"/>
    </row>
    <row r="151" spans="2:18" ht="12.75" customHeight="1">
      <c r="B151" s="228"/>
      <c r="C151" s="228"/>
      <c r="D151" s="228"/>
      <c r="E151" s="228"/>
      <c r="F151" s="228"/>
      <c r="G151" s="4"/>
      <c r="H151" s="4"/>
      <c r="I151" s="6" t="s">
        <v>31</v>
      </c>
      <c r="J151" s="5">
        <v>2539.7999999999997</v>
      </c>
      <c r="K151" s="4"/>
      <c r="L151" s="4"/>
      <c r="M151" s="228"/>
      <c r="O151" s="3"/>
      <c r="R151" s="3"/>
    </row>
    <row r="152" spans="2:18" ht="12.75" customHeight="1">
      <c r="B152" s="231">
        <v>52</v>
      </c>
      <c r="C152" s="226" t="s">
        <v>30</v>
      </c>
      <c r="D152" s="230">
        <v>289.8</v>
      </c>
      <c r="E152" s="226" t="s">
        <v>6</v>
      </c>
      <c r="F152" s="231">
        <v>1</v>
      </c>
      <c r="G152" s="6" t="s">
        <v>5</v>
      </c>
      <c r="H152" s="5">
        <v>121.71599999999999</v>
      </c>
      <c r="I152" s="4"/>
      <c r="J152" s="4"/>
      <c r="K152" s="4"/>
      <c r="L152" s="4"/>
      <c r="M152" s="226" t="s">
        <v>75</v>
      </c>
      <c r="O152" s="3"/>
      <c r="R152" s="3"/>
    </row>
    <row r="153" spans="2:18" ht="12.75" customHeight="1">
      <c r="B153" s="228"/>
      <c r="C153" s="228"/>
      <c r="D153" s="228"/>
      <c r="E153" s="228"/>
      <c r="F153" s="228"/>
      <c r="G153" s="6" t="s">
        <v>0</v>
      </c>
      <c r="H153" s="5">
        <v>12.171600000000002</v>
      </c>
      <c r="I153" s="4"/>
      <c r="J153" s="4"/>
      <c r="K153" s="4"/>
      <c r="L153" s="4"/>
      <c r="M153" s="228"/>
      <c r="O153" s="3"/>
      <c r="R153" s="3"/>
    </row>
    <row r="154" spans="2:18" ht="12.75" customHeight="1">
      <c r="B154" s="7">
        <v>53</v>
      </c>
      <c r="C154" s="229" t="s">
        <v>74</v>
      </c>
      <c r="D154" s="216"/>
      <c r="E154" s="216"/>
      <c r="F154" s="216"/>
      <c r="G154" s="216"/>
      <c r="H154" s="216"/>
      <c r="I154" s="216"/>
      <c r="J154" s="216"/>
      <c r="K154" s="216"/>
      <c r="L154" s="216"/>
      <c r="M154" s="217"/>
      <c r="O154" s="3"/>
      <c r="R154" s="3"/>
    </row>
    <row r="155" spans="2:18" ht="12.75" customHeight="1">
      <c r="B155" s="231">
        <v>54</v>
      </c>
      <c r="C155" s="226" t="s">
        <v>55</v>
      </c>
      <c r="D155" s="230">
        <v>327.60000000000002</v>
      </c>
      <c r="E155" s="226" t="s">
        <v>6</v>
      </c>
      <c r="F155" s="231">
        <v>2</v>
      </c>
      <c r="G155" s="6" t="s">
        <v>5</v>
      </c>
      <c r="H155" s="5">
        <v>1513.5120000000002</v>
      </c>
      <c r="I155" s="6" t="s">
        <v>54</v>
      </c>
      <c r="J155" s="5">
        <v>131.04000000000002</v>
      </c>
      <c r="K155" s="4"/>
      <c r="L155" s="4"/>
      <c r="M155" s="226" t="s">
        <v>73</v>
      </c>
      <c r="O155" s="3"/>
      <c r="R155" s="3"/>
    </row>
    <row r="156" spans="2:18" ht="12.75" customHeight="1">
      <c r="B156" s="227"/>
      <c r="C156" s="227"/>
      <c r="D156" s="227"/>
      <c r="E156" s="227"/>
      <c r="F156" s="227"/>
      <c r="G156" s="6" t="s">
        <v>2</v>
      </c>
      <c r="H156" s="5">
        <v>756.75600000000009</v>
      </c>
      <c r="I156" s="6" t="s">
        <v>17</v>
      </c>
      <c r="J156" s="5">
        <v>65.52000000000001</v>
      </c>
      <c r="K156" s="4"/>
      <c r="L156" s="4"/>
      <c r="M156" s="227"/>
      <c r="O156" s="3"/>
      <c r="R156" s="3"/>
    </row>
    <row r="157" spans="2:18" ht="12.75" customHeight="1">
      <c r="B157" s="227"/>
      <c r="C157" s="227"/>
      <c r="D157" s="227"/>
      <c r="E157" s="227"/>
      <c r="F157" s="227"/>
      <c r="G157" s="6" t="s">
        <v>1</v>
      </c>
      <c r="H157" s="5">
        <v>75.675600000000003</v>
      </c>
      <c r="I157" s="6" t="s">
        <v>66</v>
      </c>
      <c r="J157" s="5">
        <v>1.6380000000000001</v>
      </c>
      <c r="K157" s="4"/>
      <c r="L157" s="4"/>
      <c r="M157" s="227"/>
      <c r="O157" s="3"/>
      <c r="R157" s="3"/>
    </row>
    <row r="158" spans="2:18" ht="12.75" customHeight="1">
      <c r="B158" s="227"/>
      <c r="C158" s="227"/>
      <c r="D158" s="227"/>
      <c r="E158" s="227"/>
      <c r="F158" s="227"/>
      <c r="G158" s="6" t="s">
        <v>0</v>
      </c>
      <c r="H158" s="5">
        <v>25.225200000000001</v>
      </c>
      <c r="I158" s="6" t="s">
        <v>65</v>
      </c>
      <c r="J158" s="5">
        <v>41.605200000000004</v>
      </c>
      <c r="K158" s="4"/>
      <c r="L158" s="4"/>
      <c r="M158" s="227"/>
      <c r="O158" s="3"/>
      <c r="R158" s="3"/>
    </row>
    <row r="159" spans="2:18" ht="12.75" customHeight="1">
      <c r="B159" s="227"/>
      <c r="C159" s="228"/>
      <c r="D159" s="228"/>
      <c r="E159" s="228"/>
      <c r="F159" s="228"/>
      <c r="G159" s="4"/>
      <c r="H159" s="4"/>
      <c r="I159" s="4" t="s">
        <v>48</v>
      </c>
      <c r="J159" s="5">
        <v>212.94000000000003</v>
      </c>
      <c r="K159" s="4"/>
      <c r="L159" s="4"/>
      <c r="M159" s="228"/>
      <c r="O159" s="3"/>
      <c r="R159" s="3"/>
    </row>
    <row r="160" spans="2:18" ht="12.75" customHeight="1">
      <c r="B160" s="231">
        <v>55</v>
      </c>
      <c r="C160" s="241" t="s">
        <v>47</v>
      </c>
      <c r="D160" s="230">
        <v>5573</v>
      </c>
      <c r="E160" s="226" t="s">
        <v>46</v>
      </c>
      <c r="F160" s="231">
        <v>2</v>
      </c>
      <c r="G160" s="6" t="s">
        <v>5</v>
      </c>
      <c r="H160" s="5">
        <v>62.4176</v>
      </c>
      <c r="I160" s="6" t="s">
        <v>45</v>
      </c>
      <c r="J160" s="5">
        <v>5573</v>
      </c>
      <c r="K160" s="6" t="s">
        <v>44</v>
      </c>
      <c r="L160" s="5">
        <v>1560.44</v>
      </c>
      <c r="M160" s="226" t="s">
        <v>72</v>
      </c>
      <c r="O160" s="3"/>
      <c r="R160" s="3"/>
    </row>
    <row r="161" spans="2:18" ht="12.75" customHeight="1">
      <c r="B161" s="227"/>
      <c r="C161" s="242"/>
      <c r="D161" s="227"/>
      <c r="E161" s="227"/>
      <c r="F161" s="227"/>
      <c r="G161" s="6" t="s">
        <v>42</v>
      </c>
      <c r="H161" s="5">
        <v>62.4176</v>
      </c>
      <c r="I161" s="6" t="s">
        <v>41</v>
      </c>
      <c r="J161" s="5">
        <v>156.04400000000001</v>
      </c>
      <c r="K161" s="6" t="s">
        <v>40</v>
      </c>
      <c r="L161" s="5">
        <v>1560.44</v>
      </c>
      <c r="M161" s="227"/>
      <c r="O161" s="3"/>
      <c r="R161" s="3"/>
    </row>
    <row r="162" spans="2:18" ht="12.75" customHeight="1">
      <c r="B162" s="227"/>
      <c r="C162" s="242"/>
      <c r="D162" s="227"/>
      <c r="E162" s="227"/>
      <c r="F162" s="227"/>
      <c r="G162" s="6" t="s">
        <v>1</v>
      </c>
      <c r="H162" s="5">
        <v>6.2417600000000011</v>
      </c>
      <c r="I162" s="4"/>
      <c r="J162" s="4"/>
      <c r="K162" s="4"/>
      <c r="L162" s="4"/>
      <c r="M162" s="227"/>
      <c r="O162" s="3"/>
      <c r="R162" s="3"/>
    </row>
    <row r="163" spans="2:18" ht="12.75" customHeight="1">
      <c r="B163" s="228"/>
      <c r="C163" s="243"/>
      <c r="D163" s="228"/>
      <c r="E163" s="228"/>
      <c r="F163" s="228"/>
      <c r="G163" s="6" t="s">
        <v>0</v>
      </c>
      <c r="H163" s="5">
        <v>6.2417600000000011</v>
      </c>
      <c r="I163" s="4"/>
      <c r="J163" s="4"/>
      <c r="K163" s="4"/>
      <c r="L163" s="4"/>
      <c r="M163" s="228"/>
      <c r="O163" s="3"/>
      <c r="R163" s="3"/>
    </row>
    <row r="164" spans="2:18" ht="12.75" customHeight="1">
      <c r="B164" s="240">
        <v>56</v>
      </c>
      <c r="C164" s="226" t="s">
        <v>39</v>
      </c>
      <c r="D164" s="230">
        <v>23.69</v>
      </c>
      <c r="E164" s="226" t="s">
        <v>38</v>
      </c>
      <c r="F164" s="231">
        <v>1</v>
      </c>
      <c r="G164" s="6" t="s">
        <v>5</v>
      </c>
      <c r="H164" s="5">
        <v>165.83</v>
      </c>
      <c r="I164" s="6" t="s">
        <v>10</v>
      </c>
      <c r="J164" s="5">
        <v>9665.52</v>
      </c>
      <c r="K164" s="8" t="s">
        <v>37</v>
      </c>
      <c r="L164" s="5">
        <v>24.459925000000002</v>
      </c>
      <c r="M164" s="226" t="s">
        <v>71</v>
      </c>
      <c r="O164" s="3"/>
      <c r="R164" s="3"/>
    </row>
    <row r="165" spans="2:18" ht="12.75" customHeight="1">
      <c r="B165" s="227"/>
      <c r="C165" s="227"/>
      <c r="D165" s="227"/>
      <c r="E165" s="227"/>
      <c r="F165" s="227"/>
      <c r="G165" s="6" t="s">
        <v>35</v>
      </c>
      <c r="H165" s="5">
        <v>41.457500000000003</v>
      </c>
      <c r="I165" s="6" t="s">
        <v>34</v>
      </c>
      <c r="J165" s="5">
        <v>14901.01</v>
      </c>
      <c r="K165" s="4"/>
      <c r="L165" s="4"/>
      <c r="M165" s="227"/>
      <c r="O165" s="3"/>
      <c r="R165" s="3"/>
    </row>
    <row r="166" spans="2:18" ht="12.75" customHeight="1">
      <c r="B166" s="227"/>
      <c r="C166" s="227"/>
      <c r="D166" s="227"/>
      <c r="E166" s="227"/>
      <c r="F166" s="227"/>
      <c r="G166" s="6" t="s">
        <v>1</v>
      </c>
      <c r="H166" s="5">
        <v>4.1457500000000005</v>
      </c>
      <c r="I166" s="6" t="s">
        <v>33</v>
      </c>
      <c r="J166" s="5">
        <v>23903.210000000003</v>
      </c>
      <c r="K166" s="4"/>
      <c r="L166" s="4"/>
      <c r="M166" s="227"/>
      <c r="O166" s="3"/>
      <c r="R166" s="3"/>
    </row>
    <row r="167" spans="2:18" ht="12.75" customHeight="1">
      <c r="B167" s="227"/>
      <c r="C167" s="227"/>
      <c r="D167" s="227"/>
      <c r="E167" s="227"/>
      <c r="F167" s="227"/>
      <c r="G167" s="6" t="s">
        <v>0</v>
      </c>
      <c r="H167" s="5">
        <v>16.583000000000002</v>
      </c>
      <c r="I167" s="6" t="s">
        <v>32</v>
      </c>
      <c r="J167" s="5">
        <v>4785.38</v>
      </c>
      <c r="K167" s="4"/>
      <c r="L167" s="4"/>
      <c r="M167" s="227"/>
      <c r="O167" s="3"/>
      <c r="R167" s="3"/>
    </row>
    <row r="168" spans="2:18" ht="12.75" customHeight="1">
      <c r="B168" s="228"/>
      <c r="C168" s="228"/>
      <c r="D168" s="228"/>
      <c r="E168" s="228"/>
      <c r="F168" s="228"/>
      <c r="G168" s="4"/>
      <c r="H168" s="4"/>
      <c r="I168" s="6" t="s">
        <v>31</v>
      </c>
      <c r="J168" s="5">
        <v>2416.38</v>
      </c>
      <c r="K168" s="4"/>
      <c r="L168" s="4"/>
      <c r="M168" s="228"/>
      <c r="O168" s="3"/>
      <c r="R168" s="3"/>
    </row>
    <row r="169" spans="2:18" ht="12.75" customHeight="1">
      <c r="B169" s="231">
        <v>57</v>
      </c>
      <c r="C169" s="226" t="s">
        <v>30</v>
      </c>
      <c r="D169" s="230">
        <v>327.60000000000002</v>
      </c>
      <c r="E169" s="226" t="s">
        <v>6</v>
      </c>
      <c r="F169" s="231">
        <v>1</v>
      </c>
      <c r="G169" s="6" t="s">
        <v>5</v>
      </c>
      <c r="H169" s="5">
        <v>137.59200000000001</v>
      </c>
      <c r="I169" s="4"/>
      <c r="J169" s="4"/>
      <c r="K169" s="4"/>
      <c r="L169" s="4"/>
      <c r="M169" s="226" t="s">
        <v>70</v>
      </c>
      <c r="O169" s="3"/>
      <c r="R169" s="3"/>
    </row>
    <row r="170" spans="2:18" ht="12.75" customHeight="1">
      <c r="B170" s="228"/>
      <c r="C170" s="228"/>
      <c r="D170" s="228"/>
      <c r="E170" s="228"/>
      <c r="F170" s="228"/>
      <c r="G170" s="6" t="s">
        <v>0</v>
      </c>
      <c r="H170" s="5">
        <v>13.759200000000002</v>
      </c>
      <c r="I170" s="4"/>
      <c r="J170" s="4"/>
      <c r="K170" s="4"/>
      <c r="L170" s="4"/>
      <c r="M170" s="228"/>
      <c r="O170" s="3"/>
      <c r="R170" s="3"/>
    </row>
    <row r="171" spans="2:18" ht="12.75" customHeight="1">
      <c r="B171" s="7">
        <v>58</v>
      </c>
      <c r="C171" s="229" t="s">
        <v>69</v>
      </c>
      <c r="D171" s="216"/>
      <c r="E171" s="216"/>
      <c r="F171" s="216"/>
      <c r="G171" s="216"/>
      <c r="H171" s="216"/>
      <c r="I171" s="216"/>
      <c r="J171" s="216"/>
      <c r="K171" s="216"/>
      <c r="L171" s="216"/>
      <c r="M171" s="217"/>
      <c r="O171" s="3"/>
      <c r="R171" s="3"/>
    </row>
    <row r="172" spans="2:18" ht="12.75" customHeight="1">
      <c r="B172" s="7">
        <v>59</v>
      </c>
      <c r="C172" s="229" t="s">
        <v>68</v>
      </c>
      <c r="D172" s="216"/>
      <c r="E172" s="216"/>
      <c r="F172" s="216"/>
      <c r="G172" s="216"/>
      <c r="H172" s="216"/>
      <c r="I172" s="216"/>
      <c r="J172" s="216"/>
      <c r="K172" s="216"/>
      <c r="L172" s="216"/>
      <c r="M172" s="217"/>
      <c r="O172" s="3"/>
      <c r="R172" s="3"/>
    </row>
    <row r="173" spans="2:18" ht="12.75" customHeight="1">
      <c r="B173" s="231">
        <v>60</v>
      </c>
      <c r="C173" s="226" t="s">
        <v>55</v>
      </c>
      <c r="D173" s="230">
        <v>468.06</v>
      </c>
      <c r="E173" s="226" t="s">
        <v>6</v>
      </c>
      <c r="F173" s="231">
        <v>2</v>
      </c>
      <c r="G173" s="6" t="s">
        <v>5</v>
      </c>
      <c r="H173" s="5">
        <v>2162.4371999999998</v>
      </c>
      <c r="I173" s="6" t="s">
        <v>54</v>
      </c>
      <c r="J173" s="5">
        <v>187.22400000000002</v>
      </c>
      <c r="K173" s="4"/>
      <c r="L173" s="4"/>
      <c r="M173" s="226" t="s">
        <v>67</v>
      </c>
      <c r="O173" s="3"/>
      <c r="R173" s="3"/>
    </row>
    <row r="174" spans="2:18" ht="12.75" customHeight="1">
      <c r="B174" s="227"/>
      <c r="C174" s="227"/>
      <c r="D174" s="227"/>
      <c r="E174" s="227"/>
      <c r="F174" s="227"/>
      <c r="G174" s="6" t="s">
        <v>2</v>
      </c>
      <c r="H174" s="5">
        <v>1081.2185999999999</v>
      </c>
      <c r="I174" s="6" t="s">
        <v>17</v>
      </c>
      <c r="J174" s="5">
        <v>93.612000000000009</v>
      </c>
      <c r="K174" s="4"/>
      <c r="L174" s="4"/>
      <c r="M174" s="227"/>
      <c r="O174" s="3"/>
      <c r="R174" s="3"/>
    </row>
    <row r="175" spans="2:18" ht="12.75" customHeight="1">
      <c r="B175" s="227"/>
      <c r="C175" s="227"/>
      <c r="D175" s="227"/>
      <c r="E175" s="227"/>
      <c r="F175" s="227"/>
      <c r="G175" s="6" t="s">
        <v>1</v>
      </c>
      <c r="H175" s="5">
        <v>108.12186000000001</v>
      </c>
      <c r="I175" s="6" t="s">
        <v>66</v>
      </c>
      <c r="J175" s="5">
        <v>2.3403</v>
      </c>
      <c r="K175" s="4"/>
      <c r="L175" s="4"/>
      <c r="M175" s="227"/>
      <c r="O175" s="3"/>
      <c r="R175" s="3"/>
    </row>
    <row r="176" spans="2:18" ht="12.75" customHeight="1">
      <c r="B176" s="227"/>
      <c r="C176" s="227"/>
      <c r="D176" s="227"/>
      <c r="E176" s="227"/>
      <c r="F176" s="227"/>
      <c r="G176" s="6" t="s">
        <v>0</v>
      </c>
      <c r="H176" s="5">
        <v>36.040619999999997</v>
      </c>
      <c r="I176" s="6" t="s">
        <v>65</v>
      </c>
      <c r="J176" s="5">
        <v>59.443620000000003</v>
      </c>
      <c r="K176" s="4"/>
      <c r="L176" s="4"/>
      <c r="M176" s="227"/>
      <c r="O176" s="3"/>
      <c r="R176" s="3"/>
    </row>
    <row r="177" spans="2:18" ht="12.75" customHeight="1">
      <c r="B177" s="228"/>
      <c r="C177" s="228"/>
      <c r="D177" s="228"/>
      <c r="E177" s="228"/>
      <c r="F177" s="228"/>
      <c r="G177" s="4"/>
      <c r="H177" s="4"/>
      <c r="I177" s="4" t="s">
        <v>48</v>
      </c>
      <c r="J177" s="5">
        <v>912.71699999999998</v>
      </c>
      <c r="K177" s="4"/>
      <c r="L177" s="4"/>
      <c r="M177" s="228"/>
      <c r="O177" s="3"/>
      <c r="R177" s="3"/>
    </row>
    <row r="178" spans="2:18" ht="12.75" customHeight="1">
      <c r="B178" s="231">
        <v>61</v>
      </c>
      <c r="C178" s="226" t="s">
        <v>47</v>
      </c>
      <c r="D178" s="230">
        <v>8828.7900000000009</v>
      </c>
      <c r="E178" s="226" t="s">
        <v>46</v>
      </c>
      <c r="F178" s="231">
        <v>4</v>
      </c>
      <c r="G178" s="6" t="s">
        <v>5</v>
      </c>
      <c r="H178" s="5">
        <v>98.882448000000011</v>
      </c>
      <c r="I178" s="6" t="s">
        <v>45</v>
      </c>
      <c r="J178" s="5">
        <v>8828.7900000000009</v>
      </c>
      <c r="K178" s="6" t="s">
        <v>44</v>
      </c>
      <c r="L178" s="5">
        <v>2472.0612000000001</v>
      </c>
      <c r="M178" s="226" t="s">
        <v>64</v>
      </c>
      <c r="O178" s="3"/>
      <c r="R178" s="3"/>
    </row>
    <row r="179" spans="2:18" ht="12.75" customHeight="1">
      <c r="B179" s="227"/>
      <c r="C179" s="227"/>
      <c r="D179" s="227"/>
      <c r="E179" s="227"/>
      <c r="F179" s="227"/>
      <c r="G179" s="6" t="s">
        <v>42</v>
      </c>
      <c r="H179" s="5">
        <v>98.882448000000011</v>
      </c>
      <c r="I179" s="6" t="s">
        <v>41</v>
      </c>
      <c r="J179" s="5">
        <v>247.20612000000003</v>
      </c>
      <c r="K179" s="6" t="s">
        <v>40</v>
      </c>
      <c r="L179" s="5">
        <v>2472.0612000000001</v>
      </c>
      <c r="M179" s="227"/>
      <c r="O179" s="3"/>
      <c r="R179" s="3"/>
    </row>
    <row r="180" spans="2:18" ht="12.75" customHeight="1">
      <c r="B180" s="227"/>
      <c r="C180" s="227"/>
      <c r="D180" s="227"/>
      <c r="E180" s="227"/>
      <c r="F180" s="227"/>
      <c r="G180" s="6" t="s">
        <v>1</v>
      </c>
      <c r="H180" s="5">
        <v>9.8882448000000025</v>
      </c>
      <c r="I180" s="4"/>
      <c r="J180" s="4"/>
      <c r="K180" s="4"/>
      <c r="L180" s="4"/>
      <c r="M180" s="227"/>
      <c r="O180" s="3"/>
      <c r="R180" s="3"/>
    </row>
    <row r="181" spans="2:18" ht="12.75" customHeight="1">
      <c r="B181" s="228"/>
      <c r="C181" s="228"/>
      <c r="D181" s="228"/>
      <c r="E181" s="228"/>
      <c r="F181" s="228"/>
      <c r="G181" s="6" t="s">
        <v>0</v>
      </c>
      <c r="H181" s="5">
        <v>9.8882448000000025</v>
      </c>
      <c r="I181" s="4"/>
      <c r="J181" s="4"/>
      <c r="K181" s="4"/>
      <c r="L181" s="4"/>
      <c r="M181" s="228"/>
      <c r="O181" s="3"/>
      <c r="R181" s="3"/>
    </row>
    <row r="182" spans="2:18" ht="12.75" customHeight="1">
      <c r="B182" s="231">
        <v>62</v>
      </c>
      <c r="C182" s="226" t="s">
        <v>39</v>
      </c>
      <c r="D182" s="230">
        <v>112.34</v>
      </c>
      <c r="E182" s="226" t="s">
        <v>38</v>
      </c>
      <c r="F182" s="231">
        <v>2</v>
      </c>
      <c r="G182" s="6" t="s">
        <v>5</v>
      </c>
      <c r="H182" s="5">
        <v>786.38</v>
      </c>
      <c r="I182" s="6" t="s">
        <v>10</v>
      </c>
      <c r="J182" s="5">
        <v>45834.720000000001</v>
      </c>
      <c r="K182" s="8" t="s">
        <v>37</v>
      </c>
      <c r="L182" s="5">
        <v>115.99104999999999</v>
      </c>
      <c r="M182" s="226" t="s">
        <v>63</v>
      </c>
      <c r="O182" s="3"/>
      <c r="R182" s="3"/>
    </row>
    <row r="183" spans="2:18" ht="12.75" customHeight="1">
      <c r="B183" s="227"/>
      <c r="C183" s="227"/>
      <c r="D183" s="227"/>
      <c r="E183" s="227"/>
      <c r="F183" s="227"/>
      <c r="G183" s="6" t="s">
        <v>35</v>
      </c>
      <c r="H183" s="5">
        <v>196.595</v>
      </c>
      <c r="I183" s="6" t="s">
        <v>34</v>
      </c>
      <c r="J183" s="5">
        <v>70661.86</v>
      </c>
      <c r="K183" s="4"/>
      <c r="L183" s="4"/>
      <c r="M183" s="227"/>
      <c r="O183" s="3"/>
      <c r="R183" s="3"/>
    </row>
    <row r="184" spans="2:18" ht="12.75" customHeight="1">
      <c r="B184" s="227"/>
      <c r="C184" s="227"/>
      <c r="D184" s="227"/>
      <c r="E184" s="227"/>
      <c r="F184" s="227"/>
      <c r="G184" s="6" t="s">
        <v>1</v>
      </c>
      <c r="H184" s="5">
        <v>19.659500000000001</v>
      </c>
      <c r="I184" s="6" t="s">
        <v>33</v>
      </c>
      <c r="J184" s="5">
        <v>113351.06</v>
      </c>
      <c r="K184" s="4"/>
      <c r="L184" s="4"/>
      <c r="M184" s="227"/>
      <c r="O184" s="3"/>
      <c r="R184" s="3"/>
    </row>
    <row r="185" spans="2:18" ht="12.75" customHeight="1">
      <c r="B185" s="227"/>
      <c r="C185" s="227"/>
      <c r="D185" s="227"/>
      <c r="E185" s="227"/>
      <c r="F185" s="227"/>
      <c r="G185" s="6" t="s">
        <v>0</v>
      </c>
      <c r="H185" s="5">
        <v>78.638000000000005</v>
      </c>
      <c r="I185" s="6" t="s">
        <v>32</v>
      </c>
      <c r="J185" s="5">
        <v>22692.68</v>
      </c>
      <c r="K185" s="4"/>
      <c r="L185" s="4"/>
      <c r="M185" s="227"/>
      <c r="O185" s="3"/>
      <c r="R185" s="3"/>
    </row>
    <row r="186" spans="2:18" ht="12.75" customHeight="1">
      <c r="B186" s="228"/>
      <c r="C186" s="228"/>
      <c r="D186" s="228"/>
      <c r="E186" s="228"/>
      <c r="F186" s="228"/>
      <c r="G186" s="4"/>
      <c r="H186" s="4"/>
      <c r="I186" s="6" t="s">
        <v>31</v>
      </c>
      <c r="J186" s="5">
        <v>11458.68</v>
      </c>
      <c r="K186" s="4"/>
      <c r="L186" s="4"/>
      <c r="M186" s="228"/>
      <c r="O186" s="3"/>
      <c r="R186" s="3"/>
    </row>
    <row r="187" spans="2:18" ht="12.75" customHeight="1">
      <c r="B187" s="231">
        <v>63</v>
      </c>
      <c r="C187" s="226" t="s">
        <v>30</v>
      </c>
      <c r="D187" s="230">
        <v>468.06</v>
      </c>
      <c r="E187" s="226" t="s">
        <v>6</v>
      </c>
      <c r="F187" s="231">
        <v>1</v>
      </c>
      <c r="G187" s="6" t="s">
        <v>5</v>
      </c>
      <c r="H187" s="5">
        <v>196.58519999999999</v>
      </c>
      <c r="I187" s="4"/>
      <c r="J187" s="4"/>
      <c r="K187" s="4"/>
      <c r="L187" s="4"/>
      <c r="M187" s="226" t="s">
        <v>62</v>
      </c>
      <c r="O187" s="3"/>
      <c r="R187" s="3"/>
    </row>
    <row r="188" spans="2:18" ht="12.75" customHeight="1">
      <c r="B188" s="228"/>
      <c r="C188" s="228"/>
      <c r="D188" s="228"/>
      <c r="E188" s="228"/>
      <c r="F188" s="228"/>
      <c r="G188" s="6" t="s">
        <v>0</v>
      </c>
      <c r="H188" s="5">
        <v>19.658520000000003</v>
      </c>
      <c r="I188" s="4"/>
      <c r="J188" s="4"/>
      <c r="K188" s="4"/>
      <c r="L188" s="4"/>
      <c r="M188" s="228"/>
      <c r="O188" s="3"/>
      <c r="R188" s="3"/>
    </row>
    <row r="189" spans="2:18" ht="12.75" customHeight="1">
      <c r="B189" s="7">
        <v>64</v>
      </c>
      <c r="C189" s="229" t="s">
        <v>61</v>
      </c>
      <c r="D189" s="216"/>
      <c r="E189" s="216"/>
      <c r="F189" s="216"/>
      <c r="G189" s="216"/>
      <c r="H189" s="216"/>
      <c r="I189" s="216"/>
      <c r="J189" s="216"/>
      <c r="K189" s="216"/>
      <c r="L189" s="216"/>
      <c r="M189" s="217"/>
      <c r="O189" s="3"/>
      <c r="R189" s="3"/>
    </row>
    <row r="190" spans="2:18" ht="12.75" customHeight="1">
      <c r="B190" s="7">
        <v>65</v>
      </c>
      <c r="C190" s="229" t="s">
        <v>60</v>
      </c>
      <c r="D190" s="216"/>
      <c r="E190" s="216"/>
      <c r="F190" s="216"/>
      <c r="G190" s="216"/>
      <c r="H190" s="216"/>
      <c r="I190" s="216"/>
      <c r="J190" s="216"/>
      <c r="K190" s="216"/>
      <c r="L190" s="216"/>
      <c r="M190" s="217"/>
      <c r="O190" s="3"/>
      <c r="R190" s="3"/>
    </row>
    <row r="191" spans="2:18" ht="12.75" customHeight="1">
      <c r="B191" s="231">
        <v>66</v>
      </c>
      <c r="C191" s="226" t="s">
        <v>55</v>
      </c>
      <c r="D191" s="230">
        <v>55</v>
      </c>
      <c r="E191" s="226" t="s">
        <v>6</v>
      </c>
      <c r="F191" s="231">
        <v>1</v>
      </c>
      <c r="G191" s="6" t="s">
        <v>5</v>
      </c>
      <c r="H191" s="5">
        <v>254.1</v>
      </c>
      <c r="I191" s="6" t="s">
        <v>54</v>
      </c>
      <c r="J191" s="5">
        <v>22</v>
      </c>
      <c r="K191" s="4"/>
      <c r="L191" s="4"/>
      <c r="M191" s="226" t="s">
        <v>59</v>
      </c>
      <c r="O191" s="3"/>
      <c r="R191" s="3"/>
    </row>
    <row r="192" spans="2:18" ht="12.75" customHeight="1">
      <c r="B192" s="227"/>
      <c r="C192" s="227"/>
      <c r="D192" s="227"/>
      <c r="E192" s="227"/>
      <c r="F192" s="227"/>
      <c r="G192" s="6" t="s">
        <v>52</v>
      </c>
      <c r="H192" s="5">
        <v>127.05</v>
      </c>
      <c r="I192" s="6" t="s">
        <v>51</v>
      </c>
      <c r="J192" s="5">
        <v>8.25</v>
      </c>
      <c r="K192" s="4"/>
      <c r="L192" s="4"/>
      <c r="M192" s="227"/>
      <c r="O192" s="3"/>
      <c r="R192" s="3"/>
    </row>
    <row r="193" spans="2:18" ht="12.75" customHeight="1">
      <c r="B193" s="227"/>
      <c r="C193" s="227"/>
      <c r="D193" s="227"/>
      <c r="E193" s="227"/>
      <c r="F193" s="227"/>
      <c r="G193" s="6" t="s">
        <v>1</v>
      </c>
      <c r="H193" s="5">
        <v>12.705</v>
      </c>
      <c r="I193" s="6" t="s">
        <v>50</v>
      </c>
      <c r="J193" s="5">
        <v>0.27500000000000002</v>
      </c>
      <c r="K193" s="4"/>
      <c r="L193" s="4"/>
      <c r="M193" s="227"/>
      <c r="O193" s="3"/>
      <c r="R193" s="3"/>
    </row>
    <row r="194" spans="2:18" ht="12.75" customHeight="1">
      <c r="B194" s="227"/>
      <c r="C194" s="227"/>
      <c r="D194" s="227"/>
      <c r="E194" s="227"/>
      <c r="F194" s="227"/>
      <c r="G194" s="6" t="s">
        <v>0</v>
      </c>
      <c r="H194" s="5">
        <v>4.2350000000000003</v>
      </c>
      <c r="I194" s="6" t="s">
        <v>49</v>
      </c>
      <c r="J194" s="5">
        <v>6.9850000000000003</v>
      </c>
      <c r="K194" s="4"/>
      <c r="L194" s="4"/>
      <c r="M194" s="227"/>
      <c r="O194" s="3"/>
      <c r="R194" s="3"/>
    </row>
    <row r="195" spans="2:18" ht="12.75" customHeight="1">
      <c r="B195" s="228"/>
      <c r="C195" s="228"/>
      <c r="D195" s="228"/>
      <c r="E195" s="228"/>
      <c r="F195" s="228"/>
      <c r="G195" s="4"/>
      <c r="H195" s="4"/>
      <c r="I195" s="4" t="s">
        <v>48</v>
      </c>
      <c r="J195" s="5">
        <v>35.75</v>
      </c>
      <c r="K195" s="4"/>
      <c r="L195" s="4"/>
      <c r="M195" s="228"/>
      <c r="O195" s="3"/>
      <c r="R195" s="3"/>
    </row>
    <row r="196" spans="2:18" ht="12.75" customHeight="1">
      <c r="B196" s="231">
        <v>67</v>
      </c>
      <c r="C196" s="226" t="s">
        <v>47</v>
      </c>
      <c r="D196" s="230">
        <v>500.44</v>
      </c>
      <c r="E196" s="226" t="s">
        <v>46</v>
      </c>
      <c r="F196" s="231">
        <v>1</v>
      </c>
      <c r="G196" s="6" t="s">
        <v>5</v>
      </c>
      <c r="H196" s="5">
        <v>5.6049280000000001</v>
      </c>
      <c r="I196" s="6" t="s">
        <v>45</v>
      </c>
      <c r="J196" s="5">
        <v>500.44</v>
      </c>
      <c r="K196" s="6" t="s">
        <v>44</v>
      </c>
      <c r="L196" s="5">
        <v>140.12320000000003</v>
      </c>
      <c r="M196" s="226" t="s">
        <v>53</v>
      </c>
      <c r="O196" s="3"/>
      <c r="R196" s="3"/>
    </row>
    <row r="197" spans="2:18" ht="12.75" customHeight="1">
      <c r="B197" s="227"/>
      <c r="C197" s="227"/>
      <c r="D197" s="227"/>
      <c r="E197" s="227"/>
      <c r="F197" s="227"/>
      <c r="G197" s="6" t="s">
        <v>42</v>
      </c>
      <c r="H197" s="5">
        <v>5.6049280000000001</v>
      </c>
      <c r="I197" s="6" t="s">
        <v>41</v>
      </c>
      <c r="J197" s="5">
        <v>14.012320000000001</v>
      </c>
      <c r="K197" s="6" t="s">
        <v>40</v>
      </c>
      <c r="L197" s="5">
        <v>140.12320000000003</v>
      </c>
      <c r="M197" s="227"/>
      <c r="O197" s="3"/>
      <c r="R197" s="3"/>
    </row>
    <row r="198" spans="2:18" ht="12.75" customHeight="1">
      <c r="B198" s="227"/>
      <c r="C198" s="227"/>
      <c r="D198" s="227"/>
      <c r="E198" s="227"/>
      <c r="F198" s="227"/>
      <c r="G198" s="6" t="s">
        <v>1</v>
      </c>
      <c r="H198" s="5">
        <v>0.56049280000000001</v>
      </c>
      <c r="I198" s="4"/>
      <c r="J198" s="4"/>
      <c r="K198" s="4"/>
      <c r="L198" s="4"/>
      <c r="M198" s="227"/>
      <c r="O198" s="3"/>
      <c r="R198" s="3"/>
    </row>
    <row r="199" spans="2:18" ht="12.75" customHeight="1">
      <c r="B199" s="228"/>
      <c r="C199" s="228"/>
      <c r="D199" s="228"/>
      <c r="E199" s="228"/>
      <c r="F199" s="228"/>
      <c r="G199" s="6" t="s">
        <v>0</v>
      </c>
      <c r="H199" s="5">
        <v>0.56049280000000001</v>
      </c>
      <c r="I199" s="4"/>
      <c r="J199" s="4"/>
      <c r="K199" s="4"/>
      <c r="L199" s="4"/>
      <c r="M199" s="228"/>
      <c r="O199" s="3"/>
      <c r="R199" s="3"/>
    </row>
    <row r="200" spans="2:18" ht="12.75" customHeight="1">
      <c r="B200" s="231">
        <v>68</v>
      </c>
      <c r="C200" s="226" t="s">
        <v>39</v>
      </c>
      <c r="D200" s="230">
        <v>4.25</v>
      </c>
      <c r="E200" s="226" t="s">
        <v>38</v>
      </c>
      <c r="F200" s="231">
        <v>1</v>
      </c>
      <c r="G200" s="6" t="s">
        <v>5</v>
      </c>
      <c r="H200" s="5">
        <v>29.75</v>
      </c>
      <c r="I200" s="6" t="s">
        <v>10</v>
      </c>
      <c r="J200" s="5">
        <v>1734</v>
      </c>
      <c r="K200" s="8" t="s">
        <v>37</v>
      </c>
      <c r="L200" s="5">
        <v>4.3881249999999996</v>
      </c>
      <c r="M200" s="226" t="s">
        <v>58</v>
      </c>
      <c r="O200" s="3"/>
      <c r="R200" s="3"/>
    </row>
    <row r="201" spans="2:18" ht="12.75" customHeight="1">
      <c r="B201" s="227"/>
      <c r="C201" s="227"/>
      <c r="D201" s="227"/>
      <c r="E201" s="227"/>
      <c r="F201" s="227"/>
      <c r="G201" s="6" t="s">
        <v>35</v>
      </c>
      <c r="H201" s="5">
        <v>7.4375</v>
      </c>
      <c r="I201" s="6" t="s">
        <v>34</v>
      </c>
      <c r="J201" s="5">
        <v>2673.25</v>
      </c>
      <c r="K201" s="4"/>
      <c r="L201" s="4"/>
      <c r="M201" s="227"/>
      <c r="O201" s="3"/>
      <c r="R201" s="3"/>
    </row>
    <row r="202" spans="2:18" ht="12.75" customHeight="1">
      <c r="B202" s="227"/>
      <c r="C202" s="227"/>
      <c r="D202" s="227"/>
      <c r="E202" s="227"/>
      <c r="F202" s="227"/>
      <c r="G202" s="6" t="s">
        <v>1</v>
      </c>
      <c r="H202" s="5">
        <v>0.74375000000000002</v>
      </c>
      <c r="I202" s="6" t="s">
        <v>33</v>
      </c>
      <c r="J202" s="5">
        <v>4288.25</v>
      </c>
      <c r="K202" s="4"/>
      <c r="L202" s="4"/>
      <c r="M202" s="227"/>
      <c r="O202" s="3"/>
      <c r="R202" s="3"/>
    </row>
    <row r="203" spans="2:18" ht="12.75" customHeight="1">
      <c r="B203" s="227"/>
      <c r="C203" s="227"/>
      <c r="D203" s="227"/>
      <c r="E203" s="227"/>
      <c r="F203" s="227"/>
      <c r="G203" s="6" t="s">
        <v>0</v>
      </c>
      <c r="H203" s="5">
        <v>2.9750000000000001</v>
      </c>
      <c r="I203" s="6" t="s">
        <v>32</v>
      </c>
      <c r="J203" s="5">
        <v>858.5</v>
      </c>
      <c r="K203" s="4"/>
      <c r="L203" s="4"/>
      <c r="M203" s="227"/>
      <c r="O203" s="3"/>
      <c r="R203" s="3"/>
    </row>
    <row r="204" spans="2:18" ht="12.75" customHeight="1">
      <c r="B204" s="228"/>
      <c r="C204" s="228"/>
      <c r="D204" s="228"/>
      <c r="E204" s="228"/>
      <c r="F204" s="228"/>
      <c r="G204" s="4"/>
      <c r="H204" s="4"/>
      <c r="I204" s="6" t="s">
        <v>31</v>
      </c>
      <c r="J204" s="5">
        <v>433.5</v>
      </c>
      <c r="K204" s="4"/>
      <c r="L204" s="4"/>
      <c r="M204" s="228"/>
      <c r="O204" s="3"/>
      <c r="R204" s="3"/>
    </row>
    <row r="205" spans="2:18" ht="12.75" customHeight="1">
      <c r="B205" s="231">
        <v>69</v>
      </c>
      <c r="C205" s="226" t="s">
        <v>30</v>
      </c>
      <c r="D205" s="230">
        <v>55</v>
      </c>
      <c r="E205" s="226" t="s">
        <v>6</v>
      </c>
      <c r="F205" s="231">
        <v>1</v>
      </c>
      <c r="G205" s="6" t="s">
        <v>5</v>
      </c>
      <c r="H205" s="5">
        <v>23.099999999999998</v>
      </c>
      <c r="I205" s="4"/>
      <c r="J205" s="4"/>
      <c r="K205" s="4"/>
      <c r="L205" s="4"/>
      <c r="M205" s="226" t="s">
        <v>57</v>
      </c>
      <c r="O205" s="3"/>
      <c r="R205" s="3"/>
    </row>
    <row r="206" spans="2:18" ht="12.75" customHeight="1">
      <c r="B206" s="228"/>
      <c r="C206" s="228"/>
      <c r="D206" s="228"/>
      <c r="E206" s="228"/>
      <c r="F206" s="228"/>
      <c r="G206" s="6" t="s">
        <v>0</v>
      </c>
      <c r="H206" s="5">
        <v>2.31</v>
      </c>
      <c r="I206" s="4"/>
      <c r="J206" s="4"/>
      <c r="K206" s="4"/>
      <c r="L206" s="4"/>
      <c r="M206" s="228"/>
      <c r="O206" s="3"/>
      <c r="R206" s="3"/>
    </row>
    <row r="207" spans="2:18" ht="12.75" customHeight="1">
      <c r="B207" s="7">
        <v>70</v>
      </c>
      <c r="C207" s="229" t="s">
        <v>56</v>
      </c>
      <c r="D207" s="216"/>
      <c r="E207" s="216"/>
      <c r="F207" s="216"/>
      <c r="G207" s="216"/>
      <c r="H207" s="216"/>
      <c r="I207" s="216"/>
      <c r="J207" s="216"/>
      <c r="K207" s="216"/>
      <c r="L207" s="216"/>
      <c r="M207" s="217"/>
      <c r="O207" s="3"/>
      <c r="R207" s="3"/>
    </row>
    <row r="208" spans="2:18" ht="12.75" customHeight="1">
      <c r="B208" s="231">
        <v>71</v>
      </c>
      <c r="C208" s="226" t="s">
        <v>55</v>
      </c>
      <c r="D208" s="230">
        <v>55</v>
      </c>
      <c r="E208" s="226" t="s">
        <v>6</v>
      </c>
      <c r="F208" s="231">
        <v>1</v>
      </c>
      <c r="G208" s="6" t="s">
        <v>5</v>
      </c>
      <c r="H208" s="5">
        <v>254.1</v>
      </c>
      <c r="I208" s="6" t="s">
        <v>54</v>
      </c>
      <c r="J208" s="5">
        <v>22</v>
      </c>
      <c r="K208" s="4"/>
      <c r="L208" s="4"/>
      <c r="M208" s="226" t="s">
        <v>53</v>
      </c>
      <c r="O208" s="3"/>
      <c r="R208" s="3"/>
    </row>
    <row r="209" spans="2:18" ht="12.75" customHeight="1">
      <c r="B209" s="227"/>
      <c r="C209" s="227"/>
      <c r="D209" s="227"/>
      <c r="E209" s="227"/>
      <c r="F209" s="227"/>
      <c r="G209" s="6" t="s">
        <v>52</v>
      </c>
      <c r="H209" s="5">
        <v>127.05</v>
      </c>
      <c r="I209" s="6" t="s">
        <v>51</v>
      </c>
      <c r="J209" s="5">
        <v>8.25</v>
      </c>
      <c r="K209" s="4"/>
      <c r="L209" s="4"/>
      <c r="M209" s="227"/>
      <c r="O209" s="3"/>
      <c r="R209" s="3"/>
    </row>
    <row r="210" spans="2:18" ht="12.75" customHeight="1">
      <c r="B210" s="227"/>
      <c r="C210" s="227"/>
      <c r="D210" s="227"/>
      <c r="E210" s="227"/>
      <c r="F210" s="227"/>
      <c r="G210" s="6" t="s">
        <v>1</v>
      </c>
      <c r="H210" s="5">
        <v>12.705</v>
      </c>
      <c r="I210" s="6" t="s">
        <v>50</v>
      </c>
      <c r="J210" s="5">
        <v>0.27500000000000002</v>
      </c>
      <c r="K210" s="4"/>
      <c r="L210" s="4"/>
      <c r="M210" s="227"/>
      <c r="O210" s="3"/>
      <c r="R210" s="3"/>
    </row>
    <row r="211" spans="2:18" ht="12.75" customHeight="1">
      <c r="B211" s="227"/>
      <c r="C211" s="227"/>
      <c r="D211" s="227"/>
      <c r="E211" s="227"/>
      <c r="F211" s="227"/>
      <c r="G211" s="6" t="s">
        <v>0</v>
      </c>
      <c r="H211" s="5">
        <v>4.2350000000000003</v>
      </c>
      <c r="I211" s="6" t="s">
        <v>49</v>
      </c>
      <c r="J211" s="5">
        <v>6.9850000000000003</v>
      </c>
      <c r="K211" s="4"/>
      <c r="L211" s="4"/>
      <c r="M211" s="227"/>
      <c r="O211" s="3"/>
      <c r="R211" s="3"/>
    </row>
    <row r="212" spans="2:18" ht="12.75" customHeight="1">
      <c r="B212" s="228"/>
      <c r="C212" s="228"/>
      <c r="D212" s="228"/>
      <c r="E212" s="228"/>
      <c r="F212" s="228"/>
      <c r="G212" s="4"/>
      <c r="H212" s="4"/>
      <c r="I212" s="4" t="s">
        <v>48</v>
      </c>
      <c r="J212" s="5">
        <v>35.75</v>
      </c>
      <c r="K212" s="4"/>
      <c r="L212" s="4"/>
      <c r="M212" s="228"/>
      <c r="O212" s="3"/>
      <c r="R212" s="3"/>
    </row>
    <row r="213" spans="2:18" ht="12.75" customHeight="1">
      <c r="B213" s="231">
        <v>72</v>
      </c>
      <c r="C213" s="226" t="s">
        <v>47</v>
      </c>
      <c r="D213" s="230">
        <v>500.44</v>
      </c>
      <c r="E213" s="226" t="s">
        <v>46</v>
      </c>
      <c r="F213" s="231">
        <v>1</v>
      </c>
      <c r="G213" s="6" t="s">
        <v>5</v>
      </c>
      <c r="H213" s="5">
        <v>5.6049280000000001</v>
      </c>
      <c r="I213" s="6" t="s">
        <v>45</v>
      </c>
      <c r="J213" s="5">
        <v>500.44</v>
      </c>
      <c r="K213" s="6" t="s">
        <v>44</v>
      </c>
      <c r="L213" s="5">
        <v>140.12320000000003</v>
      </c>
      <c r="M213" s="226" t="s">
        <v>43</v>
      </c>
      <c r="O213" s="3"/>
      <c r="R213" s="3"/>
    </row>
    <row r="214" spans="2:18" ht="12.75" customHeight="1">
      <c r="B214" s="227"/>
      <c r="C214" s="227"/>
      <c r="D214" s="227"/>
      <c r="E214" s="227"/>
      <c r="F214" s="227"/>
      <c r="G214" s="6" t="s">
        <v>42</v>
      </c>
      <c r="H214" s="5">
        <v>5.6049280000000001</v>
      </c>
      <c r="I214" s="6" t="s">
        <v>41</v>
      </c>
      <c r="J214" s="5">
        <v>14.012320000000001</v>
      </c>
      <c r="K214" s="6" t="s">
        <v>40</v>
      </c>
      <c r="L214" s="5">
        <v>140.12320000000003</v>
      </c>
      <c r="M214" s="227"/>
      <c r="O214" s="3"/>
      <c r="R214" s="3"/>
    </row>
    <row r="215" spans="2:18" ht="12.75" customHeight="1">
      <c r="B215" s="227"/>
      <c r="C215" s="227"/>
      <c r="D215" s="227"/>
      <c r="E215" s="227"/>
      <c r="F215" s="227"/>
      <c r="G215" s="6" t="s">
        <v>1</v>
      </c>
      <c r="H215" s="5">
        <v>0.56049280000000001</v>
      </c>
      <c r="I215" s="4"/>
      <c r="J215" s="4"/>
      <c r="K215" s="4"/>
      <c r="L215" s="4"/>
      <c r="M215" s="227"/>
      <c r="O215" s="3"/>
      <c r="R215" s="3"/>
    </row>
    <row r="216" spans="2:18" ht="12.75" customHeight="1">
      <c r="B216" s="228"/>
      <c r="C216" s="228"/>
      <c r="D216" s="228"/>
      <c r="E216" s="228"/>
      <c r="F216" s="228"/>
      <c r="G216" s="6" t="s">
        <v>0</v>
      </c>
      <c r="H216" s="5">
        <v>0.56049280000000001</v>
      </c>
      <c r="I216" s="4"/>
      <c r="J216" s="4"/>
      <c r="K216" s="4"/>
      <c r="L216" s="4"/>
      <c r="M216" s="228"/>
      <c r="O216" s="3"/>
      <c r="R216" s="3"/>
    </row>
    <row r="217" spans="2:18" ht="12.75" customHeight="1">
      <c r="B217" s="231">
        <v>73</v>
      </c>
      <c r="C217" s="226" t="s">
        <v>39</v>
      </c>
      <c r="D217" s="230">
        <v>4.25</v>
      </c>
      <c r="E217" s="226" t="s">
        <v>38</v>
      </c>
      <c r="F217" s="231">
        <v>1</v>
      </c>
      <c r="G217" s="6" t="s">
        <v>5</v>
      </c>
      <c r="H217" s="5">
        <v>29.75</v>
      </c>
      <c r="I217" s="6" t="s">
        <v>10</v>
      </c>
      <c r="J217" s="5">
        <v>1734</v>
      </c>
      <c r="K217" s="8" t="s">
        <v>37</v>
      </c>
      <c r="L217" s="5">
        <v>4.3881249999999996</v>
      </c>
      <c r="M217" s="226" t="s">
        <v>36</v>
      </c>
      <c r="O217" s="3"/>
      <c r="R217" s="3"/>
    </row>
    <row r="218" spans="2:18" ht="12.75" customHeight="1">
      <c r="B218" s="227"/>
      <c r="C218" s="227"/>
      <c r="D218" s="227"/>
      <c r="E218" s="227"/>
      <c r="F218" s="227"/>
      <c r="G218" s="6" t="s">
        <v>35</v>
      </c>
      <c r="H218" s="5">
        <v>7.4375</v>
      </c>
      <c r="I218" s="6" t="s">
        <v>34</v>
      </c>
      <c r="J218" s="5">
        <v>2673.25</v>
      </c>
      <c r="K218" s="4"/>
      <c r="L218" s="4"/>
      <c r="M218" s="227"/>
      <c r="O218" s="3"/>
      <c r="R218" s="3"/>
    </row>
    <row r="219" spans="2:18" ht="12.75" customHeight="1">
      <c r="B219" s="227"/>
      <c r="C219" s="227"/>
      <c r="D219" s="227"/>
      <c r="E219" s="227"/>
      <c r="F219" s="227"/>
      <c r="G219" s="6" t="s">
        <v>1</v>
      </c>
      <c r="H219" s="5">
        <v>0.74375000000000002</v>
      </c>
      <c r="I219" s="6" t="s">
        <v>33</v>
      </c>
      <c r="J219" s="5">
        <v>4288.25</v>
      </c>
      <c r="K219" s="4"/>
      <c r="L219" s="4"/>
      <c r="M219" s="227"/>
      <c r="O219" s="3"/>
      <c r="R219" s="3"/>
    </row>
    <row r="220" spans="2:18" ht="12.75" customHeight="1">
      <c r="B220" s="227"/>
      <c r="C220" s="227"/>
      <c r="D220" s="227"/>
      <c r="E220" s="227"/>
      <c r="F220" s="227"/>
      <c r="G220" s="6" t="s">
        <v>0</v>
      </c>
      <c r="H220" s="5">
        <v>2.9750000000000001</v>
      </c>
      <c r="I220" s="6" t="s">
        <v>32</v>
      </c>
      <c r="J220" s="5">
        <v>858.5</v>
      </c>
      <c r="K220" s="4"/>
      <c r="L220" s="4"/>
      <c r="M220" s="227"/>
      <c r="O220" s="3"/>
      <c r="R220" s="3"/>
    </row>
    <row r="221" spans="2:18" ht="12.75" customHeight="1">
      <c r="B221" s="228"/>
      <c r="C221" s="228"/>
      <c r="D221" s="228"/>
      <c r="E221" s="228"/>
      <c r="F221" s="228"/>
      <c r="G221" s="4"/>
      <c r="H221" s="4"/>
      <c r="I221" s="6" t="s">
        <v>31</v>
      </c>
      <c r="J221" s="5">
        <v>433.5</v>
      </c>
      <c r="K221" s="4"/>
      <c r="L221" s="4"/>
      <c r="M221" s="228"/>
      <c r="O221" s="3"/>
      <c r="R221" s="3"/>
    </row>
    <row r="222" spans="2:18" ht="12.75" customHeight="1">
      <c r="B222" s="231">
        <v>74</v>
      </c>
      <c r="C222" s="226" t="s">
        <v>30</v>
      </c>
      <c r="D222" s="230">
        <v>55</v>
      </c>
      <c r="E222" s="226" t="s">
        <v>6</v>
      </c>
      <c r="F222" s="231">
        <v>1</v>
      </c>
      <c r="G222" s="6" t="s">
        <v>5</v>
      </c>
      <c r="H222" s="5">
        <v>23.099999999999998</v>
      </c>
      <c r="I222" s="4"/>
      <c r="J222" s="4"/>
      <c r="K222" s="4"/>
      <c r="L222" s="4"/>
      <c r="M222" s="226" t="s">
        <v>29</v>
      </c>
      <c r="O222" s="3"/>
      <c r="R222" s="3"/>
    </row>
    <row r="223" spans="2:18" ht="12.75" customHeight="1">
      <c r="B223" s="228"/>
      <c r="C223" s="228"/>
      <c r="D223" s="228"/>
      <c r="E223" s="228"/>
      <c r="F223" s="228"/>
      <c r="G223" s="6" t="s">
        <v>0</v>
      </c>
      <c r="H223" s="5">
        <v>2.31</v>
      </c>
      <c r="I223" s="4"/>
      <c r="J223" s="4"/>
      <c r="K223" s="4"/>
      <c r="L223" s="4"/>
      <c r="M223" s="228"/>
      <c r="O223" s="3"/>
      <c r="R223" s="3"/>
    </row>
    <row r="224" spans="2:18" ht="12.75" customHeight="1">
      <c r="B224" s="7">
        <v>75</v>
      </c>
      <c r="C224" s="229" t="s">
        <v>28</v>
      </c>
      <c r="D224" s="216"/>
      <c r="E224" s="216"/>
      <c r="F224" s="216"/>
      <c r="G224" s="216"/>
      <c r="H224" s="216"/>
      <c r="I224" s="216"/>
      <c r="J224" s="216"/>
      <c r="K224" s="216"/>
      <c r="L224" s="216"/>
      <c r="M224" s="217"/>
      <c r="O224" s="3"/>
      <c r="R224" s="3"/>
    </row>
    <row r="225" spans="2:18" ht="12.75" customHeight="1">
      <c r="B225" s="7">
        <v>76</v>
      </c>
      <c r="C225" s="229" t="s">
        <v>27</v>
      </c>
      <c r="D225" s="216"/>
      <c r="E225" s="216"/>
      <c r="F225" s="216"/>
      <c r="G225" s="216"/>
      <c r="H225" s="216"/>
      <c r="I225" s="216"/>
      <c r="J225" s="216"/>
      <c r="K225" s="216"/>
      <c r="L225" s="216"/>
      <c r="M225" s="217"/>
      <c r="O225" s="3"/>
      <c r="R225" s="3"/>
    </row>
    <row r="226" spans="2:18" ht="12.75" customHeight="1">
      <c r="B226" s="231">
        <v>77</v>
      </c>
      <c r="C226" s="226" t="s">
        <v>21</v>
      </c>
      <c r="D226" s="230">
        <v>456.99</v>
      </c>
      <c r="E226" s="226" t="s">
        <v>6</v>
      </c>
      <c r="F226" s="231">
        <v>1</v>
      </c>
      <c r="G226" s="6" t="s">
        <v>5</v>
      </c>
      <c r="H226" s="5">
        <v>457.12709699999999</v>
      </c>
      <c r="I226" s="4" t="s">
        <v>20</v>
      </c>
      <c r="J226" s="5">
        <v>5331.7023300000001</v>
      </c>
      <c r="K226" s="4"/>
      <c r="L226" s="4"/>
      <c r="M226" s="226" t="s">
        <v>26</v>
      </c>
      <c r="O226" s="3"/>
      <c r="R226" s="3"/>
    </row>
    <row r="227" spans="2:18" ht="12.75" customHeight="1">
      <c r="B227" s="227"/>
      <c r="C227" s="227"/>
      <c r="D227" s="227"/>
      <c r="E227" s="227"/>
      <c r="F227" s="227"/>
      <c r="G227" s="6" t="s">
        <v>2</v>
      </c>
      <c r="H227" s="5">
        <v>228.40360200000001</v>
      </c>
      <c r="I227" s="6" t="s">
        <v>18</v>
      </c>
      <c r="J227" s="5">
        <v>6229.68768</v>
      </c>
      <c r="K227" s="4"/>
      <c r="L227" s="4"/>
      <c r="M227" s="227"/>
      <c r="O227" s="3"/>
      <c r="R227" s="3"/>
    </row>
    <row r="228" spans="2:18" ht="12.75" customHeight="1">
      <c r="B228" s="227"/>
      <c r="C228" s="227"/>
      <c r="D228" s="227"/>
      <c r="E228" s="227"/>
      <c r="F228" s="227"/>
      <c r="G228" s="6" t="s">
        <v>1</v>
      </c>
      <c r="H228" s="5">
        <v>22.712403000000002</v>
      </c>
      <c r="I228" s="6" t="s">
        <v>17</v>
      </c>
      <c r="J228" s="5">
        <v>12.33873</v>
      </c>
      <c r="K228" s="4"/>
      <c r="L228" s="4"/>
      <c r="M228" s="227"/>
      <c r="O228" s="3"/>
      <c r="R228" s="3"/>
    </row>
    <row r="229" spans="2:18" ht="12.75" customHeight="1">
      <c r="B229" s="227"/>
      <c r="C229" s="227"/>
      <c r="D229" s="227"/>
      <c r="E229" s="227"/>
      <c r="F229" s="227"/>
      <c r="G229" s="6" t="s">
        <v>0</v>
      </c>
      <c r="H229" s="5">
        <v>7.6774319999999996</v>
      </c>
      <c r="I229" s="4"/>
      <c r="J229" s="4"/>
      <c r="K229" s="4"/>
      <c r="L229" s="4"/>
      <c r="M229" s="227"/>
      <c r="O229" s="3"/>
      <c r="R229" s="3"/>
    </row>
    <row r="230" spans="2:18" ht="12.75" customHeight="1">
      <c r="B230" s="228"/>
      <c r="C230" s="228"/>
      <c r="D230" s="228"/>
      <c r="E230" s="228"/>
      <c r="F230" s="228"/>
      <c r="G230" s="4"/>
      <c r="H230" s="4"/>
      <c r="I230" s="4"/>
      <c r="J230" s="4"/>
      <c r="K230" s="4"/>
      <c r="L230" s="4"/>
      <c r="M230" s="228"/>
      <c r="O230" s="3"/>
      <c r="R230" s="3"/>
    </row>
    <row r="231" spans="2:18" ht="12.75" customHeight="1">
      <c r="B231" s="231">
        <v>78</v>
      </c>
      <c r="C231" s="226" t="s">
        <v>16</v>
      </c>
      <c r="D231" s="230">
        <v>1715.6</v>
      </c>
      <c r="E231" s="226" t="s">
        <v>6</v>
      </c>
      <c r="F231" s="231">
        <v>4</v>
      </c>
      <c r="G231" s="6" t="s">
        <v>5</v>
      </c>
      <c r="H231" s="5">
        <v>2001.9336399999995</v>
      </c>
      <c r="I231" s="6" t="s">
        <v>15</v>
      </c>
      <c r="J231" s="5">
        <v>15011.5</v>
      </c>
      <c r="K231" s="4"/>
      <c r="L231" s="4"/>
      <c r="M231" s="226" t="s">
        <v>25</v>
      </c>
      <c r="O231" s="3"/>
      <c r="R231" s="3"/>
    </row>
    <row r="232" spans="2:18" ht="12.75" customHeight="1">
      <c r="B232" s="227"/>
      <c r="C232" s="227"/>
      <c r="D232" s="227"/>
      <c r="E232" s="227"/>
      <c r="F232" s="227"/>
      <c r="G232" s="6" t="s">
        <v>13</v>
      </c>
      <c r="H232" s="5">
        <v>1000.3663599999999</v>
      </c>
      <c r="I232" s="6" t="s">
        <v>12</v>
      </c>
      <c r="J232" s="5">
        <v>5882.7923999999994</v>
      </c>
      <c r="K232" s="4"/>
      <c r="L232" s="4"/>
      <c r="M232" s="227"/>
      <c r="O232" s="3"/>
      <c r="R232" s="3"/>
    </row>
    <row r="233" spans="2:18" ht="12.75" customHeight="1">
      <c r="B233" s="227"/>
      <c r="C233" s="227"/>
      <c r="D233" s="227"/>
      <c r="E233" s="227"/>
      <c r="F233" s="227"/>
      <c r="G233" s="6" t="s">
        <v>1</v>
      </c>
      <c r="H233" s="5">
        <v>99.676359999999988</v>
      </c>
      <c r="I233" s="4"/>
      <c r="J233" s="4"/>
      <c r="K233" s="4"/>
      <c r="L233" s="4"/>
      <c r="M233" s="227"/>
      <c r="O233" s="3"/>
      <c r="R233" s="3"/>
    </row>
    <row r="234" spans="2:18" ht="12.75" customHeight="1">
      <c r="B234" s="228"/>
      <c r="C234" s="228"/>
      <c r="D234" s="228"/>
      <c r="E234" s="228"/>
      <c r="F234" s="228"/>
      <c r="G234" s="6" t="s">
        <v>0</v>
      </c>
      <c r="H234" s="5">
        <v>33.62576</v>
      </c>
      <c r="I234" s="4"/>
      <c r="J234" s="4"/>
      <c r="K234" s="4"/>
      <c r="L234" s="4"/>
      <c r="M234" s="228"/>
      <c r="O234" s="3"/>
      <c r="R234" s="3"/>
    </row>
    <row r="235" spans="2:18" ht="12.75" customHeight="1">
      <c r="B235" s="231">
        <v>79</v>
      </c>
      <c r="C235" s="226" t="s">
        <v>11</v>
      </c>
      <c r="D235" s="230">
        <v>3431.2</v>
      </c>
      <c r="E235" s="226" t="s">
        <v>6</v>
      </c>
      <c r="F235" s="231">
        <v>2</v>
      </c>
      <c r="G235" s="6" t="s">
        <v>5</v>
      </c>
      <c r="H235" s="5">
        <v>4803.68</v>
      </c>
      <c r="I235" s="6" t="s">
        <v>10</v>
      </c>
      <c r="J235" s="5">
        <v>26681.011199999997</v>
      </c>
      <c r="K235" s="4"/>
      <c r="L235" s="4"/>
      <c r="M235" s="226" t="s">
        <v>24</v>
      </c>
      <c r="O235" s="3"/>
      <c r="R235" s="3"/>
    </row>
    <row r="236" spans="2:18" ht="12.75" customHeight="1">
      <c r="B236" s="227"/>
      <c r="C236" s="227"/>
      <c r="D236" s="227"/>
      <c r="E236" s="227"/>
      <c r="F236" s="227"/>
      <c r="G236" s="6" t="s">
        <v>2</v>
      </c>
      <c r="H236" s="5">
        <v>2401.84</v>
      </c>
      <c r="I236" s="6" t="s">
        <v>8</v>
      </c>
      <c r="J236" s="5">
        <v>78.917599999999993</v>
      </c>
      <c r="K236" s="4"/>
      <c r="L236" s="4"/>
      <c r="M236" s="227"/>
      <c r="O236" s="3"/>
      <c r="R236" s="3"/>
    </row>
    <row r="237" spans="2:18" ht="12.75" customHeight="1">
      <c r="B237" s="227"/>
      <c r="C237" s="227"/>
      <c r="D237" s="227"/>
      <c r="E237" s="227"/>
      <c r="F237" s="227"/>
      <c r="G237" s="6" t="s">
        <v>1</v>
      </c>
      <c r="H237" s="5">
        <v>240.184</v>
      </c>
      <c r="I237" s="4"/>
      <c r="J237" s="4"/>
      <c r="K237" s="4"/>
      <c r="L237" s="4"/>
      <c r="M237" s="227"/>
      <c r="O237" s="3"/>
      <c r="R237" s="3"/>
    </row>
    <row r="238" spans="2:18" ht="12.75" customHeight="1">
      <c r="B238" s="228"/>
      <c r="C238" s="228"/>
      <c r="D238" s="228"/>
      <c r="E238" s="228"/>
      <c r="F238" s="228"/>
      <c r="G238" s="6" t="s">
        <v>0</v>
      </c>
      <c r="H238" s="5">
        <v>79.260719999999992</v>
      </c>
      <c r="I238" s="4"/>
      <c r="J238" s="4"/>
      <c r="K238" s="4"/>
      <c r="L238" s="4"/>
      <c r="M238" s="228"/>
      <c r="O238" s="3"/>
      <c r="R238" s="3"/>
    </row>
    <row r="239" spans="2:18" ht="12.75" customHeight="1">
      <c r="B239" s="231">
        <v>80</v>
      </c>
      <c r="C239" s="226" t="s">
        <v>7</v>
      </c>
      <c r="D239" s="230">
        <v>456.92</v>
      </c>
      <c r="E239" s="226" t="s">
        <v>6</v>
      </c>
      <c r="F239" s="231">
        <v>1</v>
      </c>
      <c r="G239" s="6" t="s">
        <v>5</v>
      </c>
      <c r="H239" s="5">
        <v>383.81279999999998</v>
      </c>
      <c r="I239" s="6" t="s">
        <v>4</v>
      </c>
      <c r="J239" s="5">
        <v>2650.136</v>
      </c>
      <c r="K239" s="4"/>
      <c r="L239" s="4"/>
      <c r="M239" s="226" t="s">
        <v>23</v>
      </c>
      <c r="O239" s="3"/>
      <c r="R239" s="3"/>
    </row>
    <row r="240" spans="2:18" ht="12.75" customHeight="1">
      <c r="B240" s="227"/>
      <c r="C240" s="227"/>
      <c r="D240" s="227"/>
      <c r="E240" s="227"/>
      <c r="F240" s="227"/>
      <c r="G240" s="6" t="s">
        <v>2</v>
      </c>
      <c r="H240" s="5">
        <v>383.81279999999998</v>
      </c>
      <c r="I240" s="4"/>
      <c r="J240" s="4"/>
      <c r="K240" s="4"/>
      <c r="L240" s="4"/>
      <c r="M240" s="227"/>
      <c r="O240" s="3"/>
      <c r="R240" s="3"/>
    </row>
    <row r="241" spans="2:18" ht="12.75" customHeight="1">
      <c r="B241" s="227"/>
      <c r="C241" s="227"/>
      <c r="D241" s="227"/>
      <c r="E241" s="227"/>
      <c r="F241" s="227"/>
      <c r="G241" s="6" t="s">
        <v>1</v>
      </c>
      <c r="H241" s="5">
        <v>38.381280000000004</v>
      </c>
      <c r="I241" s="4"/>
      <c r="J241" s="4"/>
      <c r="K241" s="4"/>
      <c r="L241" s="4"/>
      <c r="M241" s="227"/>
      <c r="O241" s="3"/>
      <c r="R241" s="3"/>
    </row>
    <row r="242" spans="2:18" ht="12.75" customHeight="1">
      <c r="B242" s="228"/>
      <c r="C242" s="228"/>
      <c r="D242" s="228"/>
      <c r="E242" s="228"/>
      <c r="F242" s="228"/>
      <c r="G242" s="6" t="s">
        <v>0</v>
      </c>
      <c r="H242" s="5">
        <v>12.793760000000001</v>
      </c>
      <c r="I242" s="4"/>
      <c r="J242" s="4"/>
      <c r="K242" s="4"/>
      <c r="L242" s="4"/>
      <c r="M242" s="228"/>
      <c r="O242" s="3"/>
      <c r="R242" s="3"/>
    </row>
    <row r="243" spans="2:18" ht="12.75" customHeight="1">
      <c r="B243" s="7">
        <v>81</v>
      </c>
      <c r="C243" s="229" t="s">
        <v>22</v>
      </c>
      <c r="D243" s="216"/>
      <c r="E243" s="216"/>
      <c r="F243" s="216"/>
      <c r="G243" s="216"/>
      <c r="H243" s="216"/>
      <c r="I243" s="216"/>
      <c r="J243" s="216"/>
      <c r="K243" s="216"/>
      <c r="L243" s="216"/>
      <c r="M243" s="217"/>
      <c r="O243" s="3"/>
      <c r="R243" s="3"/>
    </row>
    <row r="244" spans="2:18" ht="12.75" customHeight="1">
      <c r="B244" s="231">
        <v>82</v>
      </c>
      <c r="C244" s="226" t="s">
        <v>21</v>
      </c>
      <c r="D244" s="230">
        <v>456.79</v>
      </c>
      <c r="E244" s="226" t="s">
        <v>6</v>
      </c>
      <c r="F244" s="231">
        <v>2</v>
      </c>
      <c r="G244" s="6" t="s">
        <v>5</v>
      </c>
      <c r="H244" s="5">
        <v>456.92703699999998</v>
      </c>
      <c r="I244" s="4" t="s">
        <v>20</v>
      </c>
      <c r="J244" s="5">
        <v>5329.3689300000005</v>
      </c>
      <c r="K244" s="4"/>
      <c r="L244" s="4"/>
      <c r="M244" s="226" t="s">
        <v>19</v>
      </c>
      <c r="O244" s="3"/>
      <c r="R244" s="3"/>
    </row>
    <row r="245" spans="2:18" ht="12.75" customHeight="1">
      <c r="B245" s="227"/>
      <c r="C245" s="227"/>
      <c r="D245" s="227"/>
      <c r="E245" s="227"/>
      <c r="F245" s="227"/>
      <c r="G245" s="6" t="s">
        <v>2</v>
      </c>
      <c r="H245" s="5">
        <v>228.30364200000002</v>
      </c>
      <c r="I245" s="6" t="s">
        <v>18</v>
      </c>
      <c r="J245" s="5">
        <v>6226.9612800000004</v>
      </c>
      <c r="K245" s="4"/>
      <c r="L245" s="4"/>
      <c r="M245" s="227"/>
      <c r="O245" s="3"/>
      <c r="R245" s="3"/>
    </row>
    <row r="246" spans="2:18" ht="12.75" customHeight="1">
      <c r="B246" s="227"/>
      <c r="C246" s="227"/>
      <c r="D246" s="227"/>
      <c r="E246" s="227"/>
      <c r="F246" s="227"/>
      <c r="G246" s="6" t="s">
        <v>1</v>
      </c>
      <c r="H246" s="5">
        <v>22.702463000000002</v>
      </c>
      <c r="I246" s="6" t="s">
        <v>17</v>
      </c>
      <c r="J246" s="5">
        <v>12.33333</v>
      </c>
      <c r="K246" s="4"/>
      <c r="L246" s="4"/>
      <c r="M246" s="227"/>
      <c r="O246" s="3"/>
      <c r="R246" s="3"/>
    </row>
    <row r="247" spans="2:18" ht="12.75" customHeight="1">
      <c r="B247" s="227"/>
      <c r="C247" s="227"/>
      <c r="D247" s="227"/>
      <c r="E247" s="227"/>
      <c r="F247" s="227"/>
      <c r="G247" s="6" t="s">
        <v>0</v>
      </c>
      <c r="H247" s="5">
        <v>7.6740719999999998</v>
      </c>
      <c r="I247" s="4"/>
      <c r="J247" s="4"/>
      <c r="K247" s="4"/>
      <c r="L247" s="4"/>
      <c r="M247" s="227"/>
      <c r="O247" s="3"/>
      <c r="R247" s="3"/>
    </row>
    <row r="248" spans="2:18" ht="12.75" customHeight="1">
      <c r="B248" s="228"/>
      <c r="C248" s="228"/>
      <c r="D248" s="228"/>
      <c r="E248" s="228"/>
      <c r="F248" s="228"/>
      <c r="G248" s="4"/>
      <c r="H248" s="4"/>
      <c r="I248" s="4"/>
      <c r="J248" s="4"/>
      <c r="K248" s="4"/>
      <c r="L248" s="4"/>
      <c r="M248" s="228"/>
      <c r="O248" s="3"/>
      <c r="R248" s="3"/>
    </row>
    <row r="249" spans="2:18" ht="12.75" customHeight="1">
      <c r="B249" s="231">
        <v>83</v>
      </c>
      <c r="C249" s="226" t="s">
        <v>16</v>
      </c>
      <c r="D249" s="230">
        <v>1860.72</v>
      </c>
      <c r="E249" s="226" t="s">
        <v>6</v>
      </c>
      <c r="F249" s="231">
        <v>4</v>
      </c>
      <c r="G249" s="6" t="s">
        <v>5</v>
      </c>
      <c r="H249" s="5">
        <v>2171.2741679999999</v>
      </c>
      <c r="I249" s="6" t="s">
        <v>15</v>
      </c>
      <c r="J249" s="5">
        <v>16281.300000000001</v>
      </c>
      <c r="K249" s="4"/>
      <c r="L249" s="4"/>
      <c r="M249" s="226" t="s">
        <v>14</v>
      </c>
      <c r="O249" s="3"/>
      <c r="R249" s="3"/>
    </row>
    <row r="250" spans="2:18" ht="12.75" customHeight="1">
      <c r="B250" s="227"/>
      <c r="C250" s="227"/>
      <c r="D250" s="227"/>
      <c r="E250" s="227"/>
      <c r="F250" s="227"/>
      <c r="G250" s="6" t="s">
        <v>13</v>
      </c>
      <c r="H250" s="5">
        <v>1084.9858319999998</v>
      </c>
      <c r="I250" s="6" t="s">
        <v>12</v>
      </c>
      <c r="J250" s="5">
        <v>6380.40888</v>
      </c>
      <c r="K250" s="4"/>
      <c r="L250" s="4"/>
      <c r="M250" s="227"/>
      <c r="O250" s="3"/>
      <c r="R250" s="3"/>
    </row>
    <row r="251" spans="2:18" ht="12.75" customHeight="1">
      <c r="B251" s="227"/>
      <c r="C251" s="227"/>
      <c r="D251" s="227"/>
      <c r="E251" s="227"/>
      <c r="F251" s="227"/>
      <c r="G251" s="6" t="s">
        <v>1</v>
      </c>
      <c r="H251" s="5">
        <v>108.107832</v>
      </c>
      <c r="I251" s="4"/>
      <c r="J251" s="4"/>
      <c r="K251" s="4"/>
      <c r="L251" s="4"/>
      <c r="M251" s="227"/>
      <c r="O251" s="3"/>
      <c r="R251" s="3"/>
    </row>
    <row r="252" spans="2:18" ht="12.75" customHeight="1">
      <c r="B252" s="228"/>
      <c r="C252" s="228"/>
      <c r="D252" s="228"/>
      <c r="E252" s="228"/>
      <c r="F252" s="228"/>
      <c r="G252" s="6" t="s">
        <v>0</v>
      </c>
      <c r="H252" s="5">
        <v>36.470112</v>
      </c>
      <c r="I252" s="4"/>
      <c r="J252" s="4"/>
      <c r="K252" s="4"/>
      <c r="L252" s="4"/>
      <c r="M252" s="228"/>
      <c r="O252" s="3"/>
      <c r="R252" s="3"/>
    </row>
    <row r="253" spans="2:18" ht="12.75" customHeight="1">
      <c r="B253" s="231">
        <v>84</v>
      </c>
      <c r="C253" s="226" t="s">
        <v>11</v>
      </c>
      <c r="D253" s="230">
        <v>3721.44</v>
      </c>
      <c r="E253" s="226" t="s">
        <v>6</v>
      </c>
      <c r="F253" s="231">
        <v>4</v>
      </c>
      <c r="G253" s="6" t="s">
        <v>5</v>
      </c>
      <c r="H253" s="5">
        <v>5210.0160000000005</v>
      </c>
      <c r="I253" s="6" t="s">
        <v>10</v>
      </c>
      <c r="J253" s="5">
        <v>28937.917440000001</v>
      </c>
      <c r="K253" s="4"/>
      <c r="L253" s="4"/>
      <c r="M253" s="226" t="s">
        <v>9</v>
      </c>
      <c r="O253" s="3"/>
      <c r="R253" s="3"/>
    </row>
    <row r="254" spans="2:18" ht="12.75" customHeight="1">
      <c r="B254" s="227"/>
      <c r="C254" s="227"/>
      <c r="D254" s="227"/>
      <c r="E254" s="227"/>
      <c r="F254" s="227"/>
      <c r="G254" s="6" t="s">
        <v>2</v>
      </c>
      <c r="H254" s="5">
        <v>2605.0080000000003</v>
      </c>
      <c r="I254" s="6" t="s">
        <v>8</v>
      </c>
      <c r="J254" s="5">
        <v>85.593119999999999</v>
      </c>
      <c r="K254" s="4"/>
      <c r="L254" s="4"/>
      <c r="M254" s="227"/>
      <c r="O254" s="3"/>
      <c r="R254" s="3"/>
    </row>
    <row r="255" spans="2:18" ht="12.75" customHeight="1">
      <c r="B255" s="227"/>
      <c r="C255" s="227"/>
      <c r="D255" s="227"/>
      <c r="E255" s="227"/>
      <c r="F255" s="227"/>
      <c r="G255" s="6" t="s">
        <v>1</v>
      </c>
      <c r="H255" s="5">
        <v>260.50080000000003</v>
      </c>
      <c r="I255" s="4"/>
      <c r="J255" s="4"/>
      <c r="K255" s="4"/>
      <c r="L255" s="4"/>
      <c r="M255" s="227"/>
      <c r="O255" s="3"/>
      <c r="R255" s="3"/>
    </row>
    <row r="256" spans="2:18" ht="12.75" customHeight="1">
      <c r="B256" s="228"/>
      <c r="C256" s="228"/>
      <c r="D256" s="228"/>
      <c r="E256" s="228"/>
      <c r="F256" s="228"/>
      <c r="G256" s="6" t="s">
        <v>0</v>
      </c>
      <c r="H256" s="5">
        <v>85.965263999999991</v>
      </c>
      <c r="I256" s="4"/>
      <c r="J256" s="4"/>
      <c r="K256" s="4"/>
      <c r="L256" s="4"/>
      <c r="M256" s="228"/>
      <c r="O256" s="3"/>
      <c r="R256" s="3"/>
    </row>
    <row r="257" spans="2:18" ht="12.75" customHeight="1">
      <c r="B257" s="231">
        <v>85</v>
      </c>
      <c r="C257" s="226" t="s">
        <v>7</v>
      </c>
      <c r="D257" s="230">
        <v>456.72</v>
      </c>
      <c r="E257" s="226" t="s">
        <v>6</v>
      </c>
      <c r="F257" s="231">
        <v>1</v>
      </c>
      <c r="G257" s="6" t="s">
        <v>5</v>
      </c>
      <c r="H257" s="5">
        <v>383.64480000000003</v>
      </c>
      <c r="I257" s="6" t="s">
        <v>4</v>
      </c>
      <c r="J257" s="5">
        <v>2648.9760000000001</v>
      </c>
      <c r="K257" s="4"/>
      <c r="L257" s="4"/>
      <c r="M257" s="226" t="s">
        <v>3</v>
      </c>
      <c r="O257" s="3"/>
      <c r="R257" s="3"/>
    </row>
    <row r="258" spans="2:18" ht="12.75" customHeight="1">
      <c r="B258" s="227"/>
      <c r="C258" s="227"/>
      <c r="D258" s="227"/>
      <c r="E258" s="227"/>
      <c r="F258" s="227"/>
      <c r="G258" s="6" t="s">
        <v>2</v>
      </c>
      <c r="H258" s="5">
        <v>383.64480000000003</v>
      </c>
      <c r="I258" s="4"/>
      <c r="J258" s="4"/>
      <c r="K258" s="4"/>
      <c r="L258" s="4"/>
      <c r="M258" s="227"/>
      <c r="O258" s="3"/>
      <c r="R258" s="3"/>
    </row>
    <row r="259" spans="2:18" ht="12.75" customHeight="1">
      <c r="B259" s="227"/>
      <c r="C259" s="227"/>
      <c r="D259" s="227"/>
      <c r="E259" s="227"/>
      <c r="F259" s="227"/>
      <c r="G259" s="6" t="s">
        <v>1</v>
      </c>
      <c r="H259" s="5">
        <v>38.364480000000007</v>
      </c>
      <c r="I259" s="4"/>
      <c r="J259" s="4"/>
      <c r="K259" s="4"/>
      <c r="L259" s="4"/>
      <c r="M259" s="227"/>
      <c r="O259" s="3"/>
      <c r="R259" s="3"/>
    </row>
    <row r="260" spans="2:18" ht="12.75" customHeight="1">
      <c r="B260" s="228"/>
      <c r="C260" s="228"/>
      <c r="D260" s="228"/>
      <c r="E260" s="228"/>
      <c r="F260" s="228"/>
      <c r="G260" s="6" t="s">
        <v>0</v>
      </c>
      <c r="H260" s="5">
        <v>12.788160000000001</v>
      </c>
      <c r="I260" s="4"/>
      <c r="J260" s="4"/>
      <c r="K260" s="4"/>
      <c r="L260" s="4"/>
      <c r="M260" s="228"/>
      <c r="O260" s="3"/>
      <c r="R260" s="3"/>
    </row>
    <row r="261" spans="2:18" ht="12.7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2:18" ht="12.7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2:18" ht="12.7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2:18" ht="12.7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2:18" ht="12.7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2:18" ht="12.7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2:18" ht="12.7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2:18" ht="12.7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2:18" ht="12.7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2:18" ht="12.7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2:18" ht="12.7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2:18" ht="12.7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2:13" ht="12.7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2:13" ht="12.7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2:13" ht="12.7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2:13" ht="12.7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2:13" ht="12.7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2:13" ht="12.7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2:13" ht="12.7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2:13" ht="12.7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2:13" ht="12.7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2:13" ht="12.7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2:13" ht="12.7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2:13" ht="12.7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2:13" ht="12.7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2:13" ht="12.7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2:13" ht="12.7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2:13" ht="12.7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2:13" ht="12.7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2:13" ht="12.7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2:13" ht="12.7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2:13" ht="12.7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2:13" ht="12.7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2:13" ht="12.7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2:13" ht="12.7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2:13" ht="12.7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2:13" ht="12.7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2:13" ht="12.7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2:13" ht="12.7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2:13" ht="12.7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2:13" ht="12.7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2:13" ht="12.7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2:13" ht="12.7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2:13" ht="12.7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2:13" ht="12.7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2:13" ht="12.7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2:13" ht="12.7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2:13" ht="12.7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2:13" ht="12.7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2:13" ht="12.7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2:13" ht="12.7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2:13" ht="12.7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2:13" ht="12.7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2:13" ht="12.7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2:13" ht="12.7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2:13" ht="12.7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2:13" ht="12.7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2:13" ht="12.7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2:13" ht="12.7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2:13" ht="12.7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2:13" ht="12.7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2:13" ht="12.7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2:13" ht="12.7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2:13" ht="12.7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2:13" ht="12.7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2:13" ht="12.7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2:13" ht="12.7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2:13" ht="12.7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2:13" ht="12.7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2:13" ht="12.7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2:13" ht="12.7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2:13" ht="12.7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2:13" ht="12.7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2:13" ht="12.7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2:13" ht="12.7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2:13" ht="12.7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2:13" ht="12.7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2:13" ht="12.7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2:13" ht="12.7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2:13" ht="12.7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2:13" ht="12.7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2:13" ht="12.7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2:13" ht="12.7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2:13" ht="12.7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2:13" ht="12.7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2:13" ht="12.7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2:13" ht="12.7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2:13" ht="12.7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2:13" ht="12.7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2:13" ht="12.7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2:13" ht="12.7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2:13" ht="12.7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2:13" ht="12.7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2:13" ht="12.7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2:13" ht="12.7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2:13" ht="12.7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2:13" ht="12.7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2:13" ht="12.7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2:13" ht="12.7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2:13" ht="12.7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2:13" ht="12.7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2:13" ht="12.7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2:13" ht="12.7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2:13" ht="12.7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2:13" ht="12.7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2:13" ht="12.7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2:13" ht="12.7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2:13" ht="12.7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2:13" ht="12.7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2:13" ht="12.7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2:13" ht="12.7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2:13" ht="12.7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2:13" ht="12.7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2:13" ht="12.7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2:13" ht="12.7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2:13" ht="12.7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2:13" ht="12.7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2:13" ht="12.7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2:13" ht="12.7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2:13" ht="12.7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2:13" ht="12.7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2:13" ht="12.7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2:13" ht="12.7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2:13" ht="12.7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2:13" ht="12.7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2:13" ht="12.7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2:13" ht="12.7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2:13" ht="12.7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2:13" ht="12.7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2:13" ht="12.7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2:13" ht="12.7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2:13" ht="12.7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2:13" ht="12.7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2:13" ht="12.7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2:13" ht="12.7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2:13" ht="12.7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2:13" ht="12.7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2:13" ht="12.7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2:13" ht="12.7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2:13" ht="12.7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2:13" ht="12.7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2:13" ht="12.7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2:13" ht="12.7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2:13" ht="12.7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2:13" ht="12.7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2:13" ht="12.7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2:13" ht="12.7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2:13" ht="12.7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2:13" ht="12.7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2:13" ht="12.7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2:13" ht="12.7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2:13" ht="12.7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2:13" ht="12.7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2:13" ht="12.7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2:13" ht="12.7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2:13" ht="12.7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2:13" ht="12.7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2:13" ht="12.7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2:13" ht="12.7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2:13" ht="12.7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2:13" ht="12.7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2:13" ht="12.7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2:13" ht="12.7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2:13" ht="12.7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2:13" ht="12.7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2:13" ht="12.7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2:13" ht="12.7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2:13" ht="12.7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2:13" ht="12.7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2:13" ht="12.7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2:13" ht="12.7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2:13" ht="12.7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2:13" ht="12.7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2:13" ht="12.7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2:13" ht="12.7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2:13" ht="12.7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2:13" ht="12.7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2:13" ht="12.7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2:13" ht="12.7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2:13" ht="12.7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2:13" ht="12.7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2:13" ht="12.7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2:13" ht="12.7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2:13" ht="12.7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2:13" ht="12.7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2:13" ht="12.7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2:13" ht="12.7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2:13" ht="12.7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2:13" ht="12.7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2:13" ht="12.7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2:13" ht="12.7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2:13" ht="12.7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2:13" ht="12.7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2:13" ht="12.7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2:13" ht="12.7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2:13" ht="12.7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2:13" ht="12.7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2:13" ht="12.7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2:13" ht="12.7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2:13" ht="12.7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2:13" ht="12.7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2:13" ht="12.7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2:13" ht="12.7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2:13" ht="12.7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2:13" ht="12.7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2:13" ht="12.7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2:13" ht="12.7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2:13" ht="12.7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2:13" ht="12.7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2:13" ht="12.7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2:13" ht="12.7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2:13" ht="12.7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2:13" ht="12.7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2:13" ht="12.7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2:13" ht="12.7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2:13" ht="12.7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2:13" ht="12.7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2:13" ht="12.7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2:13" ht="12.7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2:13" ht="12.7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2:13" ht="12.7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2:13" ht="12.7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2:13" ht="12.7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2:13" ht="12.7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2:13" ht="12.7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2:13" ht="12.7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2:13" ht="12.7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2:13" ht="12.7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2:13" ht="12.7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2:13" ht="12.7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2:13" ht="12.7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2:13" ht="12.7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2:13" ht="12.7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2:13" ht="12.7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2:13" ht="12.7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2:13" ht="12.7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2:13" ht="12.7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2:13" ht="12.7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2:13" ht="12.7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2:13" ht="12.7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2:13" ht="12.7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2:13" ht="12.7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2:13" ht="12.7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2:13" ht="12.7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2:13" ht="12.7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2:13" ht="12.7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2:13" ht="12.7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2:13" ht="12.7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2:13" ht="12.7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2:13" ht="12.7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2:13" ht="12.7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2:13" ht="12.7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2:13" ht="12.7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2:13" ht="12.7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2:13" ht="12.7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2:13" ht="12.7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2:13" ht="12.7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2:13" ht="12.7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2:13" ht="12.7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2:13" ht="12.7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2:13" ht="12.7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2:13" ht="12.7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2:13" ht="12.7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2:13" ht="12.7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2:13" ht="12.7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2:13" ht="12.7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2:13" ht="12.7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2:13" ht="12.7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2:13" ht="12.7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2:13" ht="12.7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2:13" ht="12.7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2:13" ht="12.7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2:13" ht="12.7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2:13" ht="12.7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2:13" ht="12.7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2:13" ht="12.7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2:13" ht="12.7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2:13" ht="12.7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2:13" ht="12.7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2:13" ht="12.7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2:13" ht="12.7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2:13" ht="12.7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2:13" ht="12.7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2:13" ht="12.7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2:13" ht="12.7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2:13" ht="12.7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2:13" ht="12.7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2:13" ht="12.7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2:13" ht="12.7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2:13" ht="12.7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2:13" ht="12.7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2:13" ht="12.7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2:13" ht="12.7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2:13" ht="12.7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2:13" ht="12.7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2:13" ht="12.7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2:13" ht="12.7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2:13" ht="12.7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2:13" ht="12.7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2:13" ht="12.7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2:13" ht="12.7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2:13" ht="12.7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2:13" ht="12.7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2:13" ht="12.7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2:13" ht="12.7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2:13" ht="12.7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2:13" ht="12.7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2:13" ht="12.7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2:13" ht="12.7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2:13" ht="12.7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2:13" ht="12.7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2:13" ht="12.7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2:13" ht="12.7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2:13" ht="12.7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2:13" ht="12.7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2:13" ht="12.7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2:13" ht="12.7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2:13" ht="12.7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2:13" ht="12.7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2:13" ht="12.7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2:13" ht="12.7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2:13" ht="12.7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2:13" ht="12.7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2:13" ht="12.7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2:13" ht="12.7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2:13" ht="12.7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2:13" ht="12.7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2:13" ht="12.7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2:13" ht="12.7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2:13" ht="12.7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2:13" ht="12.7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2:13" ht="12.7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2:13" ht="12.7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2:13" ht="12.7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2:13" ht="12.7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2:13" ht="12.7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2:13" ht="12.7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2:13" ht="12.7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2:13" ht="12.7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2:13" ht="12.7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2:13" ht="12.7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2:13" ht="12.7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2:13" ht="12.7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2:13" ht="12.7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2:13" ht="12.7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2:13" ht="12.7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2:13" ht="12.7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2:13" ht="12.7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2:13" ht="12.7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2:13" ht="12.7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2:13" ht="12.7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2:13" ht="12.7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2:13" ht="12.7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2:13" ht="12.7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2:13" ht="12.7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2:13" ht="12.7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2:13" ht="12.7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2:13" ht="12.7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2:13" ht="12.7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2:13" ht="12.7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2:13" ht="12.7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2:13" ht="12.7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2:13" ht="12.7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2:13" ht="12.7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2:13" ht="12.7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2:13" ht="12.7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2:13" ht="12.7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2:13" ht="12.7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2:13" ht="12.7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2:13" ht="12.7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2:13" ht="12.7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2:13" ht="12.7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2:13" ht="12.7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2:13" ht="12.7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2:13" ht="12.7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2:13" ht="12.7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2:13" ht="12.7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2:13" ht="12.7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2:13" ht="12.7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2:13" ht="12.7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2:13" ht="12.7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2:13" ht="12.7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2:13" ht="12.7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2:13" ht="12.7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2:13" ht="12.7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2:13" ht="12.7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2:13" ht="12.7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2:13" ht="12.7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2:13" ht="12.7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2:13" ht="12.7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2:13" ht="12.7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2:13" ht="12.7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2:13" ht="12.7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2:13" ht="12.7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2:13" ht="12.7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2:13" ht="12.7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2:13" ht="12.7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2:13" ht="12.7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2:13" ht="12.7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2:13" ht="12.7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2:13" ht="12.7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2:13" ht="12.7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2:13" ht="12.7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2:13" ht="12.7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2:13" ht="12.7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2:13" ht="12.7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2:13" ht="12.7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2:13" ht="12.7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2:13" ht="12.7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2:13" ht="12.7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2:13" ht="12.7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2:13" ht="12.7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2:13" ht="12.7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2:13" ht="12.7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2:13" ht="12.7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2:13" ht="12.7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2:13" ht="12.7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2:13" ht="12.7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2:13" ht="12.7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2:13" ht="12.7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2:13" ht="12.7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2:13" ht="12.7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2:13" ht="12.7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2:13" ht="12.7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2:13" ht="12.7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2:13" ht="12.7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2:13" ht="12.7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2:13" ht="12.7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2:13" ht="12.7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2:13" ht="12.7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2:13" ht="12.7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2:13" ht="12.7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2:13" ht="12.7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2:13" ht="12.7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2:13" ht="12.7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2:13" ht="12.7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2:13" ht="12.7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2:13" ht="12.7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2:13" ht="12.7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2:13" ht="12.7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2:13" ht="12.7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2:13" ht="12.7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2:13" ht="12.7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2:13" ht="12.7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2:13" ht="12.7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2:13" ht="12.7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2:13" ht="12.7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2:13" ht="12.7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2:13" ht="12.7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2:13" ht="12.7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2:13" ht="12.7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2:13" ht="12.7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2:13" ht="12.7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2:13" ht="12.7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2:13" ht="12.7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2:13" ht="12.7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2:13" ht="12.7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2:13" ht="12.7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2:13" ht="12.7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2:13" ht="12.7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2:13" ht="12.7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2:13" ht="12.7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2:13" ht="12.7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2:13" ht="12.7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2:13" ht="12.7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2:13" ht="12.7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2:13" ht="12.7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2:13" ht="12.7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2:13" ht="12.7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2:13" ht="12.7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2:13" ht="12.7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2:13" ht="12.7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2:13" ht="12.7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2:13" ht="12.7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2:13" ht="12.7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2:13" ht="12.7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2:13" ht="12.7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2:13" ht="12.7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2:13" ht="12.7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2:13" ht="12.7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2:13" ht="12.7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2:13" ht="12.7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2:13" ht="12.7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2:13" ht="12.7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2:13" ht="12.7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2:13" ht="12.7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2:13" ht="12.7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2:13" ht="12.7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2:13" ht="12.7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2:13" ht="12.7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2:13" ht="12.7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2:13" ht="12.7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2:13" ht="12.7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2:13" ht="12.7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2:13" ht="12.7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2:13" ht="12.7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2:13" ht="12.7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2:13" ht="12.7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2:13" ht="12.7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2:13" ht="12.7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2:13" ht="12.7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2:13" ht="12.7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2:13" ht="12.7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2:13" ht="12.7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2:13" ht="12.7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2:13" ht="12.7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2:13" ht="12.7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2:13" ht="12.7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2:13" ht="12.7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2:13" ht="12.7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2:13" ht="12.7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2:13" ht="12.7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2:13" ht="12.7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2:13" ht="12.7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2:13" ht="12.7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2:13" ht="12.7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2:13" ht="12.7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2:13" ht="12.7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2:13" ht="12.7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2:13" ht="12.7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2:13" ht="12.7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2:13" ht="12.7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2:13" ht="12.7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2:13" ht="12.7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2:13" ht="12.7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2:13" ht="12.7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2:13" ht="12.7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2:13" ht="12.7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2:13" ht="12.7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2:13" ht="12.7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2:13" ht="12.7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2:13" ht="12.7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2:13" ht="12.7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2:13" ht="12.7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2:13" ht="12.7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2:13" ht="12.7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2:13" ht="12.7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2:13" ht="12.7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2:13" ht="12.7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2:13" ht="12.7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2:13" ht="12.7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2:13" ht="12.7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2:13" ht="12.7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2:13" ht="12.7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2:13" ht="12.7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2:13" ht="12.7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2:13" ht="12.7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2:13" ht="12.7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2:13" ht="12.7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2:13" ht="12.7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2:13" ht="12.7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2:13" ht="12.7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2:13" ht="12.7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2:13" ht="12.7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2:13" ht="12.7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2:13" ht="12.7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2:13" ht="12.7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2:13" ht="12.7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2:13" ht="12.7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2:13" ht="12.7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2:13" ht="12.7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2:13" ht="12.7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2:13" ht="12.7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2:13" ht="12.7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2:13" ht="12.7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2:13" ht="12.7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2:13" ht="12.7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2:13" ht="12.7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2:13" ht="12.7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2:13" ht="12.7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2:13" ht="12.7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2:13" ht="12.7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2:13" ht="12.7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2:13" ht="12.7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2:13" ht="12.7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2:13" ht="12.7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2:13" ht="12.7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2:13" ht="12.7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2:13" ht="12.7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2:13" ht="12.7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2:13" ht="12.7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2:13" ht="12.7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2:13" ht="12.7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2:13" ht="12.7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2:13" ht="12.7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2:13" ht="12.7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2:13" ht="12.7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2:13" ht="12.7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2:13" ht="12.7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2:13" ht="12.7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2:13" ht="12.7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2:13" ht="12.7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2:13" ht="12.7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2:13" ht="12.7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2:13" ht="12.7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2:13" ht="12.7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2:13" ht="12.7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2:13" ht="12.7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2:13" ht="12.7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2:13" ht="12.7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2:13" ht="12.7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2:13" ht="12.7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2:13" ht="12.7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2:13" ht="12.7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2:13" ht="12.7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2:13" ht="12.7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2:13" ht="12.7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2:13" ht="12.7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2:13" ht="12.7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2:13" ht="12.7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2:13" ht="12.7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2:13" ht="12.7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2:13" ht="12.7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2:13" ht="12.7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2:13" ht="12.7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2:13" ht="12.7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2:13" ht="12.7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2:13" ht="12.7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2:13" ht="12.7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2:13" ht="12.7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2:13" ht="12.7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2:13" ht="12.7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2:13" ht="12.7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2:13" ht="12.7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2:13" ht="12.7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2:13" ht="12.7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2:13" ht="12.7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2:13" ht="12.7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2:13" ht="12.7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2:13" ht="12.7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2:13" ht="12.7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2:13" ht="12.7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2:13" ht="12.7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2:13" ht="12.7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2:13" ht="12.7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2:13" ht="12.7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2:13" ht="12.7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2:13" ht="12.7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2:13" ht="12.7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2:13" ht="12.7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2:13" ht="12.7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2:13" ht="12.7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2:13" ht="12.7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2:13" ht="12.7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2:13" ht="12.7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2:13" ht="12.7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2:13" ht="12.7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2:13" ht="12.7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2:13" ht="12.7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2:13" ht="12.7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2:13" ht="12.7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2:13" ht="12.7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2:13" ht="12.7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2:13" ht="12.7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2:13" ht="12.7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2:13" ht="12.7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2:13" ht="12.7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2:13" ht="12.7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2:13" ht="12.7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2:13" ht="12.7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2:13" ht="12.7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2:13" ht="12.7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2:13" ht="12.7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2:13" ht="12.7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2:13" ht="12.7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2:13" ht="12.7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2:13" ht="12.7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2:13" ht="12.7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2:13" ht="12.7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2:13" ht="12.7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2:13" ht="12.7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2:13" ht="12.7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2:13" ht="12.7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2:13" ht="12.7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2:13" ht="12.7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2:13" ht="12.7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2:13" ht="12.7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2:13" ht="12.7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2:13" ht="12.7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2:13" ht="12.7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2:13" ht="12.7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2:13" ht="12.7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2:13" ht="12.7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2:13" ht="12.7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2:13" ht="12.7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2:13" ht="12.7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2:13" ht="12.7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2:13" ht="12.7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2:13" ht="12.7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2:13" ht="12.7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2:13" ht="12.7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2:13" ht="12.7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2:13" ht="12.7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2:13" ht="12.7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2:13" ht="12.7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2:13" ht="12.7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2:13" ht="12.7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2:13" ht="12.7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2:13" ht="12.7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2:13" ht="12.7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2:13" ht="12.7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2:13" ht="12.7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2:13" ht="12.7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2:13" ht="12.7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2:13" ht="12.7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2:13" ht="12.7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2:13" ht="12.7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2:13" ht="12.7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2:13" ht="12.7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2:13" ht="12.7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2:13" ht="12.7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2:13" ht="12.7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2:13" ht="12.7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2:13" ht="12.7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2:13" ht="12.7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2:13" ht="12.7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2:13" ht="12.7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2:13" ht="12.7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2:13" ht="12.7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2:13" ht="12.7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2:13" ht="12.7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2:13" ht="12.7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2:13" ht="12.7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2:13" ht="12.7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2:13" ht="12.75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2:13" ht="12.75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2:13" ht="12.75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2:13" ht="12.75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2:13" ht="12.75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2:13" ht="12.75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2:13" ht="12.75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2:13" ht="12.75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2:13" ht="12.75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2:13" ht="12.75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2:13" ht="12.75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2:13" ht="12.75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2:13" ht="12.75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2:13" ht="12.75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2:13" ht="12.75" customHeight="1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2:13" ht="12.75" customHeight="1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mergeCells count="376">
    <mergeCell ref="B91:B94"/>
    <mergeCell ref="C91:C94"/>
    <mergeCell ref="D91:D94"/>
    <mergeCell ref="E91:E94"/>
    <mergeCell ref="F91:F94"/>
    <mergeCell ref="B112:B116"/>
    <mergeCell ref="B103:B107"/>
    <mergeCell ref="C103:C107"/>
    <mergeCell ref="D103:D107"/>
    <mergeCell ref="E103:E107"/>
    <mergeCell ref="M83:M84"/>
    <mergeCell ref="C85:M85"/>
    <mergeCell ref="C43:C47"/>
    <mergeCell ref="D43:D47"/>
    <mergeCell ref="B48:B49"/>
    <mergeCell ref="C48:C49"/>
    <mergeCell ref="D48:D49"/>
    <mergeCell ref="E48:E49"/>
    <mergeCell ref="F48:F49"/>
    <mergeCell ref="D57:D60"/>
    <mergeCell ref="E61:E65"/>
    <mergeCell ref="F61:F65"/>
    <mergeCell ref="B66:B67"/>
    <mergeCell ref="C66:C67"/>
    <mergeCell ref="D66:D67"/>
    <mergeCell ref="B69:B73"/>
    <mergeCell ref="C69:C73"/>
    <mergeCell ref="D69:D73"/>
    <mergeCell ref="E69:E73"/>
    <mergeCell ref="F69:F73"/>
    <mergeCell ref="M43:M47"/>
    <mergeCell ref="D78:D82"/>
    <mergeCell ref="E78:E82"/>
    <mergeCell ref="B74:B77"/>
    <mergeCell ref="C74:C77"/>
    <mergeCell ref="D74:D77"/>
    <mergeCell ref="E74:E77"/>
    <mergeCell ref="E86:E90"/>
    <mergeCell ref="F86:F90"/>
    <mergeCell ref="B78:B82"/>
    <mergeCell ref="B83:B84"/>
    <mergeCell ref="C83:C84"/>
    <mergeCell ref="D83:D84"/>
    <mergeCell ref="E83:E84"/>
    <mergeCell ref="F83:F84"/>
    <mergeCell ref="B86:B90"/>
    <mergeCell ref="C86:C90"/>
    <mergeCell ref="E66:E67"/>
    <mergeCell ref="F66:F67"/>
    <mergeCell ref="B57:B60"/>
    <mergeCell ref="B61:B65"/>
    <mergeCell ref="C61:C65"/>
    <mergeCell ref="D61:D65"/>
    <mergeCell ref="E57:E60"/>
    <mergeCell ref="C31:C32"/>
    <mergeCell ref="D31:D32"/>
    <mergeCell ref="M66:M67"/>
    <mergeCell ref="C68:M68"/>
    <mergeCell ref="M69:M73"/>
    <mergeCell ref="M74:M77"/>
    <mergeCell ref="M78:M82"/>
    <mergeCell ref="B257:B260"/>
    <mergeCell ref="C257:C260"/>
    <mergeCell ref="D257:D260"/>
    <mergeCell ref="E257:E260"/>
    <mergeCell ref="F257:F260"/>
    <mergeCell ref="F74:F77"/>
    <mergeCell ref="C78:C82"/>
    <mergeCell ref="F78:F82"/>
    <mergeCell ref="M48:M49"/>
    <mergeCell ref="C50:M50"/>
    <mergeCell ref="C51:M51"/>
    <mergeCell ref="C52:M52"/>
    <mergeCell ref="M53:M56"/>
    <mergeCell ref="M57:M60"/>
    <mergeCell ref="M61:M65"/>
    <mergeCell ref="D86:D90"/>
    <mergeCell ref="M39:M42"/>
    <mergeCell ref="B35:B38"/>
    <mergeCell ref="C35:C38"/>
    <mergeCell ref="D35:D38"/>
    <mergeCell ref="E35:E38"/>
    <mergeCell ref="F35:F38"/>
    <mergeCell ref="E43:E47"/>
    <mergeCell ref="F43:F47"/>
    <mergeCell ref="B39:B42"/>
    <mergeCell ref="C39:C42"/>
    <mergeCell ref="D39:D42"/>
    <mergeCell ref="B43:B47"/>
    <mergeCell ref="B217:B221"/>
    <mergeCell ref="B222:B223"/>
    <mergeCell ref="E39:E42"/>
    <mergeCell ref="F39:F42"/>
    <mergeCell ref="B244:B248"/>
    <mergeCell ref="B249:B252"/>
    <mergeCell ref="C249:C252"/>
    <mergeCell ref="D249:D252"/>
    <mergeCell ref="C222:C223"/>
    <mergeCell ref="C226:C230"/>
    <mergeCell ref="D226:D230"/>
    <mergeCell ref="E226:E230"/>
    <mergeCell ref="B53:B56"/>
    <mergeCell ref="C53:C56"/>
    <mergeCell ref="D53:D56"/>
    <mergeCell ref="E53:E56"/>
    <mergeCell ref="F53:F56"/>
    <mergeCell ref="C57:C60"/>
    <mergeCell ref="F57:F60"/>
    <mergeCell ref="B117:B118"/>
    <mergeCell ref="C117:C118"/>
    <mergeCell ref="C121:C125"/>
    <mergeCell ref="D121:D125"/>
    <mergeCell ref="E121:E125"/>
    <mergeCell ref="B226:B230"/>
    <mergeCell ref="B231:B234"/>
    <mergeCell ref="C231:C234"/>
    <mergeCell ref="D231:D234"/>
    <mergeCell ref="E231:E234"/>
    <mergeCell ref="B235:B238"/>
    <mergeCell ref="B253:B256"/>
    <mergeCell ref="C253:C256"/>
    <mergeCell ref="D253:D256"/>
    <mergeCell ref="B205:B206"/>
    <mergeCell ref="C205:C206"/>
    <mergeCell ref="D205:D206"/>
    <mergeCell ref="E205:E206"/>
    <mergeCell ref="F205:F206"/>
    <mergeCell ref="B239:B242"/>
    <mergeCell ref="C239:C242"/>
    <mergeCell ref="D239:D242"/>
    <mergeCell ref="F222:F223"/>
    <mergeCell ref="B213:B216"/>
    <mergeCell ref="C213:C216"/>
    <mergeCell ref="D213:D216"/>
    <mergeCell ref="E213:E216"/>
    <mergeCell ref="F213:F216"/>
    <mergeCell ref="F217:F221"/>
    <mergeCell ref="B208:B212"/>
    <mergeCell ref="C208:C212"/>
    <mergeCell ref="D208:D212"/>
    <mergeCell ref="E208:E212"/>
    <mergeCell ref="F208:F212"/>
    <mergeCell ref="C235:C238"/>
    <mergeCell ref="D235:D238"/>
    <mergeCell ref="F226:F230"/>
    <mergeCell ref="F231:F234"/>
    <mergeCell ref="B200:B204"/>
    <mergeCell ref="C200:C204"/>
    <mergeCell ref="D200:D204"/>
    <mergeCell ref="B173:B177"/>
    <mergeCell ref="C173:C177"/>
    <mergeCell ref="D173:D177"/>
    <mergeCell ref="B178:B181"/>
    <mergeCell ref="C178:C181"/>
    <mergeCell ref="C182:C186"/>
    <mergeCell ref="B191:B195"/>
    <mergeCell ref="B196:B199"/>
    <mergeCell ref="C196:C199"/>
    <mergeCell ref="D196:D199"/>
    <mergeCell ref="B182:B186"/>
    <mergeCell ref="B187:B188"/>
    <mergeCell ref="C187:C188"/>
    <mergeCell ref="B169:B170"/>
    <mergeCell ref="C169:C170"/>
    <mergeCell ref="D169:D170"/>
    <mergeCell ref="E169:E170"/>
    <mergeCell ref="F169:F170"/>
    <mergeCell ref="E173:E177"/>
    <mergeCell ref="F173:F177"/>
    <mergeCell ref="D182:D186"/>
    <mergeCell ref="E182:E186"/>
    <mergeCell ref="D187:D188"/>
    <mergeCell ref="E187:E188"/>
    <mergeCell ref="F187:F188"/>
    <mergeCell ref="D178:D181"/>
    <mergeCell ref="E178:E181"/>
    <mergeCell ref="F178:F181"/>
    <mergeCell ref="B164:B168"/>
    <mergeCell ref="C164:C168"/>
    <mergeCell ref="D164:D168"/>
    <mergeCell ref="B138:B142"/>
    <mergeCell ref="C138:C142"/>
    <mergeCell ref="D138:D142"/>
    <mergeCell ref="B143:B146"/>
    <mergeCell ref="C143:C146"/>
    <mergeCell ref="C147:C151"/>
    <mergeCell ref="B155:B159"/>
    <mergeCell ref="B160:B163"/>
    <mergeCell ref="C160:C163"/>
    <mergeCell ref="D160:D163"/>
    <mergeCell ref="B147:B151"/>
    <mergeCell ref="B152:B153"/>
    <mergeCell ref="C152:C153"/>
    <mergeCell ref="C108:C111"/>
    <mergeCell ref="D108:D111"/>
    <mergeCell ref="E108:E111"/>
    <mergeCell ref="F108:F111"/>
    <mergeCell ref="C112:C116"/>
    <mergeCell ref="F112:F116"/>
    <mergeCell ref="E138:E142"/>
    <mergeCell ref="F138:F142"/>
    <mergeCell ref="D147:D151"/>
    <mergeCell ref="E147:E151"/>
    <mergeCell ref="D152:D153"/>
    <mergeCell ref="E152:E153"/>
    <mergeCell ref="F152:F153"/>
    <mergeCell ref="D143:D146"/>
    <mergeCell ref="E143:E146"/>
    <mergeCell ref="F143:F146"/>
    <mergeCell ref="F121:F125"/>
    <mergeCell ref="B121:B125"/>
    <mergeCell ref="B126:B129"/>
    <mergeCell ref="C126:C129"/>
    <mergeCell ref="D126:D129"/>
    <mergeCell ref="E126:E129"/>
    <mergeCell ref="F126:F129"/>
    <mergeCell ref="B130:B134"/>
    <mergeCell ref="E130:E134"/>
    <mergeCell ref="F130:F134"/>
    <mergeCell ref="B135:B136"/>
    <mergeCell ref="C135:C136"/>
    <mergeCell ref="D135:D136"/>
    <mergeCell ref="E135:E136"/>
    <mergeCell ref="F135:F136"/>
    <mergeCell ref="C130:C134"/>
    <mergeCell ref="D130:D134"/>
    <mergeCell ref="B22:B25"/>
    <mergeCell ref="B29:B30"/>
    <mergeCell ref="C29:C30"/>
    <mergeCell ref="D29:D30"/>
    <mergeCell ref="E29:E30"/>
    <mergeCell ref="F29:F30"/>
    <mergeCell ref="F103:F107"/>
    <mergeCell ref="B108:B111"/>
    <mergeCell ref="C22:C25"/>
    <mergeCell ref="D22:D25"/>
    <mergeCell ref="E22:E25"/>
    <mergeCell ref="F22:F25"/>
    <mergeCell ref="B95:B99"/>
    <mergeCell ref="C95:C99"/>
    <mergeCell ref="D95:D99"/>
    <mergeCell ref="E95:E99"/>
    <mergeCell ref="F95:F99"/>
    <mergeCell ref="B100:B101"/>
    <mergeCell ref="C100:C101"/>
    <mergeCell ref="F100:F101"/>
    <mergeCell ref="B31:B32"/>
    <mergeCell ref="C102:M102"/>
    <mergeCell ref="D100:D101"/>
    <mergeCell ref="E100:E101"/>
    <mergeCell ref="B3:M3"/>
    <mergeCell ref="B4:B6"/>
    <mergeCell ref="C4:C6"/>
    <mergeCell ref="D4:D6"/>
    <mergeCell ref="E4:E6"/>
    <mergeCell ref="B10:B11"/>
    <mergeCell ref="B12:B19"/>
    <mergeCell ref="C12:C19"/>
    <mergeCell ref="D12:D19"/>
    <mergeCell ref="E12:E19"/>
    <mergeCell ref="F12:F19"/>
    <mergeCell ref="C7:M7"/>
    <mergeCell ref="C8:M8"/>
    <mergeCell ref="C10:C11"/>
    <mergeCell ref="D10:D11"/>
    <mergeCell ref="E10:E11"/>
    <mergeCell ref="F10:F11"/>
    <mergeCell ref="M10:M11"/>
    <mergeCell ref="M257:M260"/>
    <mergeCell ref="C224:M224"/>
    <mergeCell ref="C225:M225"/>
    <mergeCell ref="M226:M230"/>
    <mergeCell ref="M231:M234"/>
    <mergeCell ref="M235:M238"/>
    <mergeCell ref="M12:M19"/>
    <mergeCell ref="G4:L4"/>
    <mergeCell ref="G5:H5"/>
    <mergeCell ref="I5:J5"/>
    <mergeCell ref="K5:L5"/>
    <mergeCell ref="M22:M25"/>
    <mergeCell ref="C27:M27"/>
    <mergeCell ref="C28:M28"/>
    <mergeCell ref="M29:M30"/>
    <mergeCell ref="M103:M107"/>
    <mergeCell ref="M108:M111"/>
    <mergeCell ref="M86:M90"/>
    <mergeCell ref="M91:M94"/>
    <mergeCell ref="M95:M99"/>
    <mergeCell ref="M100:M101"/>
    <mergeCell ref="F147:F151"/>
    <mergeCell ref="E160:E163"/>
    <mergeCell ref="F160:F163"/>
    <mergeCell ref="E249:E252"/>
    <mergeCell ref="E253:E256"/>
    <mergeCell ref="E244:E248"/>
    <mergeCell ref="F244:F248"/>
    <mergeCell ref="F249:F252"/>
    <mergeCell ref="F253:F256"/>
    <mergeCell ref="F4:F6"/>
    <mergeCell ref="M4:M6"/>
    <mergeCell ref="M249:M252"/>
    <mergeCell ref="M253:M256"/>
    <mergeCell ref="F182:F186"/>
    <mergeCell ref="E196:E199"/>
    <mergeCell ref="F196:F199"/>
    <mergeCell ref="F235:F238"/>
    <mergeCell ref="E239:E242"/>
    <mergeCell ref="F239:F242"/>
    <mergeCell ref="E235:E238"/>
    <mergeCell ref="E217:E221"/>
    <mergeCell ref="E222:E223"/>
    <mergeCell ref="E31:E32"/>
    <mergeCell ref="F31:F32"/>
    <mergeCell ref="M31:M32"/>
    <mergeCell ref="C34:M34"/>
    <mergeCell ref="M35:M38"/>
    <mergeCell ref="M191:M195"/>
    <mergeCell ref="C191:C195"/>
    <mergeCell ref="D191:D195"/>
    <mergeCell ref="E191:E195"/>
    <mergeCell ref="F191:F195"/>
    <mergeCell ref="M217:M221"/>
    <mergeCell ref="M222:M223"/>
    <mergeCell ref="M244:M248"/>
    <mergeCell ref="E200:E204"/>
    <mergeCell ref="F200:F204"/>
    <mergeCell ref="M196:M199"/>
    <mergeCell ref="M200:M204"/>
    <mergeCell ref="M205:M206"/>
    <mergeCell ref="C207:M207"/>
    <mergeCell ref="M208:M212"/>
    <mergeCell ref="M213:M216"/>
    <mergeCell ref="M239:M242"/>
    <mergeCell ref="C243:M243"/>
    <mergeCell ref="C244:C248"/>
    <mergeCell ref="D244:D248"/>
    <mergeCell ref="D217:D221"/>
    <mergeCell ref="D222:D223"/>
    <mergeCell ref="C217:C221"/>
    <mergeCell ref="M138:M142"/>
    <mergeCell ref="M143:M146"/>
    <mergeCell ref="M147:M151"/>
    <mergeCell ref="M152:M153"/>
    <mergeCell ref="C154:M154"/>
    <mergeCell ref="M155:M159"/>
    <mergeCell ref="M187:M188"/>
    <mergeCell ref="C189:M189"/>
    <mergeCell ref="C190:M190"/>
    <mergeCell ref="C171:M171"/>
    <mergeCell ref="C172:M172"/>
    <mergeCell ref="M173:M177"/>
    <mergeCell ref="M178:M181"/>
    <mergeCell ref="M182:M186"/>
    <mergeCell ref="M160:M163"/>
    <mergeCell ref="M164:M168"/>
    <mergeCell ref="M169:M170"/>
    <mergeCell ref="C155:C159"/>
    <mergeCell ref="D155:D159"/>
    <mergeCell ref="E155:E159"/>
    <mergeCell ref="F155:F159"/>
    <mergeCell ref="E164:E168"/>
    <mergeCell ref="F164:F168"/>
    <mergeCell ref="M130:M134"/>
    <mergeCell ref="M135:M136"/>
    <mergeCell ref="C137:M137"/>
    <mergeCell ref="D112:D116"/>
    <mergeCell ref="E112:E116"/>
    <mergeCell ref="D117:D118"/>
    <mergeCell ref="E117:E118"/>
    <mergeCell ref="F117:F118"/>
    <mergeCell ref="M112:M116"/>
    <mergeCell ref="M117:M118"/>
    <mergeCell ref="C119:M119"/>
    <mergeCell ref="C120:M120"/>
    <mergeCell ref="M121:M125"/>
    <mergeCell ref="M126:M129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8E61-38E1-474F-9349-4888FB6120A0}">
  <sheetPr>
    <tabColor rgb="FFFFFF00"/>
  </sheetPr>
  <dimension ref="B1:O192"/>
  <sheetViews>
    <sheetView topLeftCell="A160" zoomScale="115" zoomScaleNormal="115" workbookViewId="0">
      <selection activeCell="H197" sqref="H197"/>
    </sheetView>
  </sheetViews>
  <sheetFormatPr defaultRowHeight="13.8"/>
  <cols>
    <col min="2" max="2" width="4.296875" customWidth="1"/>
    <col min="3" max="3" width="24.09765625" customWidth="1"/>
    <col min="8" max="8" width="8.8984375" style="104"/>
    <col min="9" max="9" width="19.3984375" customWidth="1"/>
    <col min="10" max="10" width="8.8984375" style="104"/>
    <col min="12" max="12" width="8.8984375" style="104"/>
    <col min="14" max="14" width="8.8984375" style="104"/>
  </cols>
  <sheetData>
    <row r="1" spans="2:13" ht="14.4" thickBot="1">
      <c r="B1" s="162"/>
      <c r="C1" s="160"/>
      <c r="D1" s="160"/>
      <c r="E1" s="160"/>
      <c r="F1" s="160"/>
      <c r="G1" s="161"/>
      <c r="H1" s="143"/>
      <c r="I1" s="161"/>
      <c r="J1" s="143"/>
      <c r="K1" s="161"/>
      <c r="L1" s="143"/>
      <c r="M1" s="160"/>
    </row>
    <row r="2" spans="2:13" ht="14.4" thickBot="1">
      <c r="B2" s="245" t="s">
        <v>492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7"/>
    </row>
    <row r="3" spans="2:13">
      <c r="B3" s="248" t="s">
        <v>360</v>
      </c>
      <c r="C3" s="249" t="s">
        <v>491</v>
      </c>
      <c r="D3" s="249" t="s">
        <v>490</v>
      </c>
      <c r="E3" s="249" t="s">
        <v>358</v>
      </c>
      <c r="F3" s="249" t="s">
        <v>489</v>
      </c>
      <c r="G3" s="250" t="s">
        <v>488</v>
      </c>
      <c r="H3" s="251"/>
      <c r="I3" s="251"/>
      <c r="J3" s="251"/>
      <c r="K3" s="251"/>
      <c r="L3" s="252"/>
      <c r="M3" s="253" t="s">
        <v>487</v>
      </c>
    </row>
    <row r="4" spans="2:13">
      <c r="B4" s="248"/>
      <c r="C4" s="249"/>
      <c r="D4" s="249"/>
      <c r="E4" s="249"/>
      <c r="F4" s="249"/>
      <c r="G4" s="254" t="s">
        <v>486</v>
      </c>
      <c r="H4" s="255"/>
      <c r="I4" s="254" t="s">
        <v>485</v>
      </c>
      <c r="J4" s="255"/>
      <c r="K4" s="254" t="s">
        <v>484</v>
      </c>
      <c r="L4" s="255"/>
      <c r="M4" s="253"/>
    </row>
    <row r="5" spans="2:13" ht="14.4" thickBot="1">
      <c r="B5" s="248"/>
      <c r="C5" s="249"/>
      <c r="D5" s="249"/>
      <c r="E5" s="249"/>
      <c r="F5" s="249"/>
      <c r="G5" s="159" t="s">
        <v>483</v>
      </c>
      <c r="H5" s="158" t="s">
        <v>482</v>
      </c>
      <c r="I5" s="159" t="s">
        <v>483</v>
      </c>
      <c r="J5" s="158" t="s">
        <v>482</v>
      </c>
      <c r="K5" s="159" t="s">
        <v>483</v>
      </c>
      <c r="L5" s="158" t="s">
        <v>482</v>
      </c>
      <c r="M5" s="253"/>
    </row>
    <row r="6" spans="2:13" ht="14.4" thickBot="1">
      <c r="B6" s="157">
        <v>1</v>
      </c>
      <c r="C6" s="256" t="s">
        <v>481</v>
      </c>
      <c r="D6" s="257"/>
      <c r="E6" s="257"/>
      <c r="F6" s="257"/>
      <c r="G6" s="257"/>
      <c r="H6" s="257"/>
      <c r="I6" s="257"/>
      <c r="J6" s="257"/>
      <c r="K6" s="257"/>
      <c r="L6" s="257"/>
      <c r="M6" s="258"/>
    </row>
    <row r="7" spans="2:13">
      <c r="B7" s="138">
        <v>2</v>
      </c>
      <c r="C7" s="259" t="s">
        <v>480</v>
      </c>
      <c r="D7" s="260"/>
      <c r="E7" s="260"/>
      <c r="F7" s="260"/>
      <c r="G7" s="260"/>
      <c r="H7" s="260"/>
      <c r="I7" s="260"/>
      <c r="J7" s="260"/>
      <c r="K7" s="260"/>
      <c r="L7" s="260"/>
      <c r="M7" s="261"/>
    </row>
    <row r="8" spans="2:13">
      <c r="B8" s="156">
        <v>3</v>
      </c>
      <c r="C8" s="129" t="s">
        <v>300</v>
      </c>
      <c r="D8" s="130">
        <v>1</v>
      </c>
      <c r="E8" s="129" t="s">
        <v>399</v>
      </c>
      <c r="F8" s="155">
        <v>105</v>
      </c>
      <c r="G8" s="151"/>
      <c r="H8" s="150"/>
      <c r="I8" s="129" t="s">
        <v>300</v>
      </c>
      <c r="J8" s="150">
        <v>1</v>
      </c>
      <c r="K8" s="151"/>
      <c r="L8" s="150"/>
      <c r="M8" s="154"/>
    </row>
    <row r="9" spans="2:13">
      <c r="B9" s="153">
        <v>4</v>
      </c>
      <c r="C9" s="116" t="s">
        <v>299</v>
      </c>
      <c r="D9" s="117">
        <v>1</v>
      </c>
      <c r="E9" s="116" t="s">
        <v>399</v>
      </c>
      <c r="F9" s="152">
        <v>3</v>
      </c>
      <c r="G9" s="151"/>
      <c r="H9" s="150"/>
      <c r="I9" s="116" t="s">
        <v>299</v>
      </c>
      <c r="J9" s="117">
        <v>1</v>
      </c>
      <c r="K9" s="149"/>
      <c r="L9" s="148"/>
      <c r="M9" s="147" t="s">
        <v>479</v>
      </c>
    </row>
    <row r="10" spans="2:13">
      <c r="B10" s="262">
        <v>5</v>
      </c>
      <c r="C10" s="265" t="s">
        <v>478</v>
      </c>
      <c r="D10" s="266">
        <v>473.4</v>
      </c>
      <c r="E10" s="269" t="s">
        <v>182</v>
      </c>
      <c r="F10" s="272">
        <v>9</v>
      </c>
      <c r="G10" s="114" t="s">
        <v>273</v>
      </c>
      <c r="H10" s="122">
        <v>662.76</v>
      </c>
      <c r="I10" s="114" t="s">
        <v>477</v>
      </c>
      <c r="J10" s="135">
        <v>568.07999999999993</v>
      </c>
      <c r="K10" s="136"/>
      <c r="L10" s="135"/>
      <c r="M10" s="275" t="s">
        <v>473</v>
      </c>
    </row>
    <row r="11" spans="2:13">
      <c r="B11" s="263"/>
      <c r="C11" s="265"/>
      <c r="D11" s="267"/>
      <c r="E11" s="270"/>
      <c r="F11" s="273"/>
      <c r="G11" s="114" t="s">
        <v>270</v>
      </c>
      <c r="H11" s="122">
        <v>331.38</v>
      </c>
      <c r="I11" s="114" t="s">
        <v>476</v>
      </c>
      <c r="J11" s="122">
        <v>6390.9</v>
      </c>
      <c r="K11" s="136"/>
      <c r="L11" s="135"/>
      <c r="M11" s="275"/>
    </row>
    <row r="12" spans="2:13">
      <c r="B12" s="263"/>
      <c r="C12" s="265"/>
      <c r="D12" s="267"/>
      <c r="E12" s="270"/>
      <c r="F12" s="273"/>
      <c r="G12" s="114" t="s">
        <v>268</v>
      </c>
      <c r="H12" s="122">
        <v>331.38</v>
      </c>
      <c r="I12" s="114" t="s">
        <v>340</v>
      </c>
      <c r="J12" s="122">
        <v>142.01999999999998</v>
      </c>
      <c r="K12" s="136"/>
      <c r="L12" s="135"/>
      <c r="M12" s="275"/>
    </row>
    <row r="13" spans="2:13">
      <c r="B13" s="264"/>
      <c r="C13" s="265"/>
      <c r="D13" s="268"/>
      <c r="E13" s="271"/>
      <c r="F13" s="274"/>
      <c r="G13" s="114" t="s">
        <v>264</v>
      </c>
      <c r="H13" s="122">
        <v>66.275999999999996</v>
      </c>
      <c r="I13" s="114" t="s">
        <v>338</v>
      </c>
      <c r="J13" s="122">
        <v>71.009999999999991</v>
      </c>
      <c r="K13" s="136"/>
      <c r="L13" s="135"/>
      <c r="M13" s="275"/>
    </row>
    <row r="14" spans="2:13">
      <c r="B14" s="146">
        <v>6</v>
      </c>
      <c r="C14" s="120" t="s">
        <v>475</v>
      </c>
      <c r="D14" s="145">
        <v>1</v>
      </c>
      <c r="E14" s="120" t="s">
        <v>399</v>
      </c>
      <c r="F14" s="121">
        <v>5</v>
      </c>
      <c r="G14" s="119"/>
      <c r="H14" s="122"/>
      <c r="I14" s="120" t="s">
        <v>298</v>
      </c>
      <c r="J14" s="122">
        <v>1</v>
      </c>
      <c r="K14" s="119"/>
      <c r="L14" s="135"/>
      <c r="M14" s="144" t="s">
        <v>473</v>
      </c>
    </row>
    <row r="15" spans="2:13">
      <c r="B15" s="146">
        <v>7</v>
      </c>
      <c r="C15" s="120" t="s">
        <v>474</v>
      </c>
      <c r="D15" s="145">
        <v>2</v>
      </c>
      <c r="E15" s="120" t="s">
        <v>399</v>
      </c>
      <c r="F15" s="121">
        <v>3</v>
      </c>
      <c r="G15" s="119"/>
      <c r="H15" s="122"/>
      <c r="I15" s="120" t="s">
        <v>297</v>
      </c>
      <c r="J15" s="122">
        <v>1</v>
      </c>
      <c r="K15" s="136"/>
      <c r="L15" s="135"/>
      <c r="M15" s="144" t="s">
        <v>473</v>
      </c>
    </row>
    <row r="16" spans="2:13">
      <c r="B16" s="146">
        <v>8</v>
      </c>
      <c r="C16" s="120" t="s">
        <v>472</v>
      </c>
      <c r="D16" s="145">
        <v>3</v>
      </c>
      <c r="E16" s="120" t="s">
        <v>399</v>
      </c>
      <c r="F16" s="121">
        <v>3</v>
      </c>
      <c r="G16" s="119"/>
      <c r="H16" s="135"/>
      <c r="I16" s="120" t="s">
        <v>296</v>
      </c>
      <c r="J16" s="122">
        <v>1</v>
      </c>
      <c r="K16" s="136"/>
      <c r="L16" s="135"/>
      <c r="M16" s="144" t="s">
        <v>471</v>
      </c>
    </row>
    <row r="17" spans="2:15">
      <c r="B17" s="262">
        <v>9</v>
      </c>
      <c r="C17" s="269" t="s">
        <v>470</v>
      </c>
      <c r="D17" s="277">
        <v>114</v>
      </c>
      <c r="E17" s="269" t="s">
        <v>182</v>
      </c>
      <c r="F17" s="269">
        <v>4</v>
      </c>
      <c r="G17" s="114" t="s">
        <v>273</v>
      </c>
      <c r="H17" s="135">
        <v>9.5760000000000005</v>
      </c>
      <c r="I17" s="114" t="s">
        <v>469</v>
      </c>
      <c r="J17" s="122">
        <v>1.482</v>
      </c>
      <c r="K17" s="114" t="s">
        <v>166</v>
      </c>
      <c r="L17" s="135">
        <v>4.7880000000000003</v>
      </c>
      <c r="M17" s="280" t="s">
        <v>468</v>
      </c>
      <c r="O17" s="104"/>
    </row>
    <row r="18" spans="2:15">
      <c r="B18" s="263"/>
      <c r="C18" s="270"/>
      <c r="D18" s="278"/>
      <c r="E18" s="270"/>
      <c r="F18" s="270"/>
      <c r="G18" s="114" t="s">
        <v>271</v>
      </c>
      <c r="H18" s="135">
        <v>4.7880000000000003</v>
      </c>
      <c r="I18" s="114" t="s">
        <v>347</v>
      </c>
      <c r="J18" s="122">
        <v>0.79800000000000004</v>
      </c>
      <c r="K18" s="136"/>
      <c r="L18" s="135"/>
      <c r="M18" s="281"/>
    </row>
    <row r="19" spans="2:15">
      <c r="B19" s="263"/>
      <c r="C19" s="270"/>
      <c r="D19" s="278"/>
      <c r="E19" s="270"/>
      <c r="F19" s="270"/>
      <c r="G19" s="114" t="s">
        <v>350</v>
      </c>
      <c r="H19" s="135">
        <v>0.4788</v>
      </c>
      <c r="I19" s="114" t="s">
        <v>345</v>
      </c>
      <c r="J19" s="135">
        <v>2.2800000000000002</v>
      </c>
      <c r="K19" s="136"/>
      <c r="L19" s="135"/>
      <c r="M19" s="281"/>
    </row>
    <row r="20" spans="2:15">
      <c r="B20" s="264"/>
      <c r="C20" s="271"/>
      <c r="D20" s="279"/>
      <c r="E20" s="271"/>
      <c r="F20" s="271"/>
      <c r="G20" s="114" t="s">
        <v>264</v>
      </c>
      <c r="H20" s="135">
        <v>0.95760000000000001</v>
      </c>
      <c r="I20" s="136"/>
      <c r="J20" s="135"/>
      <c r="K20" s="136"/>
      <c r="L20" s="135"/>
      <c r="M20" s="282"/>
    </row>
    <row r="21" spans="2:15">
      <c r="B21" s="276">
        <v>10</v>
      </c>
      <c r="C21" s="265" t="s">
        <v>395</v>
      </c>
      <c r="D21" s="265">
        <v>18328.13</v>
      </c>
      <c r="E21" s="265" t="s">
        <v>220</v>
      </c>
      <c r="F21" s="265">
        <v>13</v>
      </c>
      <c r="G21" s="114" t="s">
        <v>273</v>
      </c>
      <c r="H21" s="122">
        <v>32253.834375000002</v>
      </c>
      <c r="I21" s="119"/>
      <c r="J21" s="122"/>
      <c r="K21" s="114" t="s">
        <v>394</v>
      </c>
      <c r="L21" s="135">
        <v>26608.771875000002</v>
      </c>
      <c r="M21" s="275" t="s">
        <v>467</v>
      </c>
    </row>
    <row r="22" spans="2:15">
      <c r="B22" s="276"/>
      <c r="C22" s="265"/>
      <c r="D22" s="265"/>
      <c r="E22" s="265"/>
      <c r="F22" s="265"/>
      <c r="G22" s="114" t="s">
        <v>264</v>
      </c>
      <c r="H22" s="122">
        <v>3220.2515625000001</v>
      </c>
      <c r="I22" s="119"/>
      <c r="J22" s="122"/>
      <c r="K22" s="114" t="s">
        <v>308</v>
      </c>
      <c r="L22" s="135">
        <v>6022.6218749999998</v>
      </c>
      <c r="M22" s="275"/>
    </row>
    <row r="23" spans="2:15">
      <c r="B23" s="283">
        <v>11</v>
      </c>
      <c r="C23" s="284" t="s">
        <v>392</v>
      </c>
      <c r="D23" s="285">
        <v>15479.73</v>
      </c>
      <c r="E23" s="284" t="s">
        <v>220</v>
      </c>
      <c r="F23" s="284">
        <v>13</v>
      </c>
      <c r="G23" s="114" t="s">
        <v>273</v>
      </c>
      <c r="H23" s="122">
        <v>27143.690773499999</v>
      </c>
      <c r="I23" s="114"/>
      <c r="J23" s="122"/>
      <c r="K23" s="136"/>
      <c r="L23" s="135"/>
      <c r="M23" s="286" t="s">
        <v>466</v>
      </c>
    </row>
    <row r="24" spans="2:15">
      <c r="B24" s="283"/>
      <c r="C24" s="284"/>
      <c r="D24" s="285"/>
      <c r="E24" s="284"/>
      <c r="F24" s="284"/>
      <c r="G24" s="114" t="s">
        <v>264</v>
      </c>
      <c r="H24" s="122">
        <v>1357.1845386749999</v>
      </c>
      <c r="I24" s="136"/>
      <c r="J24" s="135"/>
      <c r="K24" s="136"/>
      <c r="L24" s="135"/>
      <c r="M24" s="286"/>
    </row>
    <row r="25" spans="2:15" ht="15.6" customHeight="1">
      <c r="B25" s="276">
        <v>12</v>
      </c>
      <c r="C25" s="265" t="s">
        <v>465</v>
      </c>
      <c r="D25" s="265">
        <v>2848.404</v>
      </c>
      <c r="E25" s="265" t="s">
        <v>220</v>
      </c>
      <c r="F25" s="265">
        <v>5</v>
      </c>
      <c r="G25" s="114" t="s">
        <v>273</v>
      </c>
      <c r="H25" s="135">
        <v>321.01513080000001</v>
      </c>
      <c r="I25" s="136"/>
      <c r="J25" s="135"/>
      <c r="K25" s="114" t="s">
        <v>304</v>
      </c>
      <c r="L25" s="135">
        <v>429.25448280000001</v>
      </c>
      <c r="M25" s="275" t="s">
        <v>464</v>
      </c>
    </row>
    <row r="26" spans="2:15" ht="14.4" customHeight="1">
      <c r="B26" s="276"/>
      <c r="C26" s="265"/>
      <c r="D26" s="265"/>
      <c r="E26" s="265"/>
      <c r="F26" s="265"/>
      <c r="G26" s="114" t="s">
        <v>355</v>
      </c>
      <c r="H26" s="135">
        <v>79.755312000000004</v>
      </c>
      <c r="I26" s="134"/>
      <c r="J26" s="133"/>
      <c r="K26" s="134"/>
      <c r="L26" s="133"/>
      <c r="M26" s="275"/>
    </row>
    <row r="27" spans="2:15" ht="14.4" customHeight="1">
      <c r="B27" s="276"/>
      <c r="C27" s="265"/>
      <c r="D27" s="265"/>
      <c r="E27" s="265"/>
      <c r="F27" s="265"/>
      <c r="G27" s="114" t="s">
        <v>264</v>
      </c>
      <c r="H27" s="135">
        <v>31.902124799999999</v>
      </c>
      <c r="I27" s="134"/>
      <c r="J27" s="133"/>
      <c r="K27" s="134"/>
      <c r="L27" s="133"/>
      <c r="M27" s="275"/>
    </row>
    <row r="28" spans="2:15">
      <c r="B28" s="138">
        <v>13</v>
      </c>
      <c r="C28" s="259" t="s">
        <v>463</v>
      </c>
      <c r="D28" s="260"/>
      <c r="E28" s="260"/>
      <c r="F28" s="260"/>
      <c r="G28" s="260"/>
      <c r="H28" s="260"/>
      <c r="I28" s="260"/>
      <c r="J28" s="260"/>
      <c r="K28" s="260"/>
      <c r="L28" s="260"/>
      <c r="M28" s="261"/>
    </row>
    <row r="29" spans="2:15">
      <c r="B29" s="276">
        <v>14</v>
      </c>
      <c r="C29" s="265" t="s">
        <v>395</v>
      </c>
      <c r="D29" s="265">
        <v>5413.72</v>
      </c>
      <c r="E29" s="265" t="s">
        <v>220</v>
      </c>
      <c r="F29" s="265">
        <v>8</v>
      </c>
      <c r="G29" s="114" t="s">
        <v>273</v>
      </c>
      <c r="H29" s="122">
        <v>9527.0721991200007</v>
      </c>
      <c r="I29" s="119"/>
      <c r="J29" s="122"/>
      <c r="K29" s="114" t="s">
        <v>394</v>
      </c>
      <c r="L29" s="122">
        <v>7859.6450839200006</v>
      </c>
      <c r="M29" s="275" t="s">
        <v>462</v>
      </c>
    </row>
    <row r="30" spans="2:15">
      <c r="B30" s="276"/>
      <c r="C30" s="265"/>
      <c r="D30" s="265"/>
      <c r="E30" s="265"/>
      <c r="F30" s="265"/>
      <c r="G30" s="114" t="s">
        <v>264</v>
      </c>
      <c r="H30" s="122">
        <v>951.19137707999994</v>
      </c>
      <c r="I30" s="119"/>
      <c r="J30" s="122"/>
      <c r="K30" s="114" t="s">
        <v>308</v>
      </c>
      <c r="L30" s="135">
        <v>1778.9498378400001</v>
      </c>
      <c r="M30" s="275"/>
    </row>
    <row r="31" spans="2:15">
      <c r="B31" s="283">
        <v>15</v>
      </c>
      <c r="C31" s="284" t="s">
        <v>392</v>
      </c>
      <c r="D31" s="285">
        <v>2375.83</v>
      </c>
      <c r="E31" s="284" t="s">
        <v>220</v>
      </c>
      <c r="F31" s="284">
        <v>11</v>
      </c>
      <c r="G31" s="114" t="s">
        <v>273</v>
      </c>
      <c r="H31" s="122">
        <v>4166.0256204000007</v>
      </c>
      <c r="I31" s="114"/>
      <c r="J31" s="122"/>
      <c r="K31" s="136"/>
      <c r="L31" s="135"/>
      <c r="M31" s="286" t="s">
        <v>461</v>
      </c>
    </row>
    <row r="32" spans="2:15">
      <c r="B32" s="283"/>
      <c r="C32" s="284"/>
      <c r="D32" s="285"/>
      <c r="E32" s="284"/>
      <c r="F32" s="284"/>
      <c r="G32" s="114" t="s">
        <v>264</v>
      </c>
      <c r="H32" s="122">
        <v>208.30128102</v>
      </c>
      <c r="I32" s="136"/>
      <c r="J32" s="135"/>
      <c r="K32" s="136"/>
      <c r="L32" s="135"/>
      <c r="M32" s="286"/>
    </row>
    <row r="33" spans="2:13">
      <c r="B33" s="283">
        <v>16</v>
      </c>
      <c r="C33" s="284" t="s">
        <v>390</v>
      </c>
      <c r="D33" s="285">
        <v>536.20000000000005</v>
      </c>
      <c r="E33" s="284" t="s">
        <v>220</v>
      </c>
      <c r="F33" s="284">
        <v>6</v>
      </c>
      <c r="G33" s="114" t="s">
        <v>273</v>
      </c>
      <c r="H33" s="122">
        <v>3753.4000000000005</v>
      </c>
      <c r="I33" s="114" t="s">
        <v>333</v>
      </c>
      <c r="J33" s="137">
        <v>143165.40000000002</v>
      </c>
      <c r="K33" s="119"/>
      <c r="L33" s="122"/>
      <c r="M33" s="286" t="s">
        <v>460</v>
      </c>
    </row>
    <row r="34" spans="2:13">
      <c r="B34" s="283"/>
      <c r="C34" s="284"/>
      <c r="D34" s="285"/>
      <c r="E34" s="284"/>
      <c r="F34" s="284"/>
      <c r="G34" s="114" t="s">
        <v>388</v>
      </c>
      <c r="H34" s="122">
        <v>938.35000000000014</v>
      </c>
      <c r="I34" s="114" t="s">
        <v>245</v>
      </c>
      <c r="J34" s="137">
        <v>467030.2</v>
      </c>
      <c r="K34" s="119"/>
      <c r="L34" s="122"/>
      <c r="M34" s="286"/>
    </row>
    <row r="35" spans="2:13">
      <c r="B35" s="283"/>
      <c r="C35" s="284"/>
      <c r="D35" s="285"/>
      <c r="E35" s="284"/>
      <c r="F35" s="284"/>
      <c r="G35" s="114" t="s">
        <v>266</v>
      </c>
      <c r="H35" s="122">
        <v>93.835000000000008</v>
      </c>
      <c r="I35" s="114" t="s">
        <v>332</v>
      </c>
      <c r="J35" s="137">
        <v>541025.80000000005</v>
      </c>
      <c r="K35" s="119"/>
      <c r="L35" s="135"/>
      <c r="M35" s="286"/>
    </row>
    <row r="36" spans="2:13">
      <c r="B36" s="283"/>
      <c r="C36" s="284"/>
      <c r="D36" s="285"/>
      <c r="E36" s="284"/>
      <c r="F36" s="284"/>
      <c r="G36" s="114" t="s">
        <v>264</v>
      </c>
      <c r="H36" s="122">
        <v>375.34000000000003</v>
      </c>
      <c r="I36" s="114" t="s">
        <v>175</v>
      </c>
      <c r="J36" s="137">
        <v>108312.40000000001</v>
      </c>
      <c r="K36" s="119"/>
      <c r="L36" s="135"/>
      <c r="M36" s="286"/>
    </row>
    <row r="37" spans="2:13">
      <c r="B37" s="276">
        <v>17</v>
      </c>
      <c r="C37" s="265" t="s">
        <v>439</v>
      </c>
      <c r="D37" s="287">
        <v>28200</v>
      </c>
      <c r="E37" s="265" t="s">
        <v>325</v>
      </c>
      <c r="F37" s="265">
        <v>6</v>
      </c>
      <c r="G37" s="114" t="s">
        <v>273</v>
      </c>
      <c r="H37" s="122">
        <v>5922</v>
      </c>
      <c r="I37" s="114" t="s">
        <v>438</v>
      </c>
      <c r="J37" s="122">
        <v>28200</v>
      </c>
      <c r="K37" s="136"/>
      <c r="L37" s="135"/>
      <c r="M37" s="275" t="s">
        <v>459</v>
      </c>
    </row>
    <row r="38" spans="2:13">
      <c r="B38" s="276"/>
      <c r="C38" s="265"/>
      <c r="D38" s="287"/>
      <c r="E38" s="265"/>
      <c r="F38" s="265"/>
      <c r="G38" s="114" t="s">
        <v>270</v>
      </c>
      <c r="H38" s="122">
        <v>5922</v>
      </c>
      <c r="I38" s="114" t="s">
        <v>330</v>
      </c>
      <c r="J38" s="122">
        <v>282</v>
      </c>
      <c r="K38" s="136"/>
      <c r="L38" s="135"/>
      <c r="M38" s="275"/>
    </row>
    <row r="39" spans="2:13">
      <c r="B39" s="276"/>
      <c r="C39" s="265"/>
      <c r="D39" s="287"/>
      <c r="E39" s="265"/>
      <c r="F39" s="265"/>
      <c r="G39" s="114" t="s">
        <v>266</v>
      </c>
      <c r="H39" s="122">
        <v>592.20000000000005</v>
      </c>
      <c r="I39" s="114"/>
      <c r="J39" s="122"/>
      <c r="K39" s="136"/>
      <c r="L39" s="135"/>
      <c r="M39" s="275"/>
    </row>
    <row r="40" spans="2:13">
      <c r="B40" s="276"/>
      <c r="C40" s="265"/>
      <c r="D40" s="287"/>
      <c r="E40" s="265"/>
      <c r="F40" s="265"/>
      <c r="G40" s="114" t="s">
        <v>264</v>
      </c>
      <c r="H40" s="122">
        <v>592.20000000000005</v>
      </c>
      <c r="I40" s="136"/>
      <c r="J40" s="135"/>
      <c r="K40" s="136"/>
      <c r="L40" s="135"/>
      <c r="M40" s="275"/>
    </row>
    <row r="41" spans="2:13">
      <c r="B41" s="283">
        <v>18</v>
      </c>
      <c r="C41" s="284" t="s">
        <v>436</v>
      </c>
      <c r="D41" s="284">
        <v>1400</v>
      </c>
      <c r="E41" s="284" t="s">
        <v>182</v>
      </c>
      <c r="F41" s="284">
        <v>8</v>
      </c>
      <c r="G41" s="114" t="s">
        <v>273</v>
      </c>
      <c r="H41" s="122">
        <v>2352</v>
      </c>
      <c r="I41" s="114" t="s">
        <v>435</v>
      </c>
      <c r="J41" s="122">
        <v>179.20000000000002</v>
      </c>
      <c r="K41" s="136"/>
      <c r="L41" s="122"/>
      <c r="M41" s="286" t="s">
        <v>458</v>
      </c>
    </row>
    <row r="42" spans="2:13">
      <c r="B42" s="283"/>
      <c r="C42" s="284"/>
      <c r="D42" s="284"/>
      <c r="E42" s="284"/>
      <c r="F42" s="284"/>
      <c r="G42" s="114" t="s">
        <v>354</v>
      </c>
      <c r="H42" s="122">
        <v>1176</v>
      </c>
      <c r="I42" s="114" t="s">
        <v>433</v>
      </c>
      <c r="J42" s="122">
        <v>15.399999999999999</v>
      </c>
      <c r="K42" s="136"/>
      <c r="L42" s="135"/>
      <c r="M42" s="286"/>
    </row>
    <row r="43" spans="2:13">
      <c r="B43" s="283"/>
      <c r="C43" s="284"/>
      <c r="D43" s="284"/>
      <c r="E43" s="284"/>
      <c r="F43" s="284"/>
      <c r="G43" s="114" t="s">
        <v>266</v>
      </c>
      <c r="H43" s="122">
        <v>117.60000000000001</v>
      </c>
      <c r="I43" s="114" t="s">
        <v>326</v>
      </c>
      <c r="J43" s="122">
        <v>350</v>
      </c>
      <c r="K43" s="136"/>
      <c r="L43" s="135"/>
      <c r="M43" s="286"/>
    </row>
    <row r="44" spans="2:13">
      <c r="B44" s="283"/>
      <c r="C44" s="284"/>
      <c r="D44" s="284"/>
      <c r="E44" s="284"/>
      <c r="F44" s="284"/>
      <c r="G44" s="114" t="s">
        <v>264</v>
      </c>
      <c r="H44" s="122">
        <v>235.20000000000002</v>
      </c>
      <c r="I44" s="114" t="s">
        <v>324</v>
      </c>
      <c r="J44" s="122">
        <v>280</v>
      </c>
      <c r="K44" s="136"/>
      <c r="L44" s="135"/>
      <c r="M44" s="286"/>
    </row>
    <row r="45" spans="2:13">
      <c r="B45" s="283">
        <v>19</v>
      </c>
      <c r="C45" s="284" t="s">
        <v>432</v>
      </c>
      <c r="D45" s="284">
        <v>693</v>
      </c>
      <c r="E45" s="284" t="s">
        <v>220</v>
      </c>
      <c r="F45" s="284">
        <v>5</v>
      </c>
      <c r="G45" s="114" t="s">
        <v>273</v>
      </c>
      <c r="H45" s="135">
        <v>4851</v>
      </c>
      <c r="I45" s="114" t="s">
        <v>333</v>
      </c>
      <c r="J45" s="137">
        <v>241164</v>
      </c>
      <c r="K45" s="114" t="s">
        <v>394</v>
      </c>
      <c r="L45" s="137">
        <v>57.241800000000005</v>
      </c>
      <c r="M45" s="286" t="s">
        <v>457</v>
      </c>
    </row>
    <row r="46" spans="2:13" ht="15.6">
      <c r="B46" s="283"/>
      <c r="C46" s="284"/>
      <c r="D46" s="284"/>
      <c r="E46" s="284"/>
      <c r="F46" s="284"/>
      <c r="G46" s="114" t="s">
        <v>13</v>
      </c>
      <c r="H46" s="122">
        <v>1212.75</v>
      </c>
      <c r="I46" s="114" t="s">
        <v>334</v>
      </c>
      <c r="J46" s="137">
        <v>547470</v>
      </c>
      <c r="K46" s="114" t="s">
        <v>311</v>
      </c>
      <c r="L46" s="137">
        <v>97.505099999999999</v>
      </c>
      <c r="M46" s="286"/>
    </row>
    <row r="47" spans="2:13">
      <c r="B47" s="283"/>
      <c r="C47" s="284"/>
      <c r="D47" s="284"/>
      <c r="E47" s="284"/>
      <c r="F47" s="284"/>
      <c r="G47" s="114" t="s">
        <v>266</v>
      </c>
      <c r="H47" s="122">
        <v>121.27499999999999</v>
      </c>
      <c r="I47" s="114" t="s">
        <v>332</v>
      </c>
      <c r="J47" s="137">
        <v>699237</v>
      </c>
      <c r="K47" s="114" t="s">
        <v>310</v>
      </c>
      <c r="L47" s="137">
        <v>233.76968999999997</v>
      </c>
      <c r="M47" s="286"/>
    </row>
    <row r="48" spans="2:13">
      <c r="B48" s="283"/>
      <c r="C48" s="284"/>
      <c r="D48" s="284"/>
      <c r="E48" s="284"/>
      <c r="F48" s="284"/>
      <c r="G48" s="114" t="s">
        <v>264</v>
      </c>
      <c r="H48" s="122">
        <v>485.09999999999997</v>
      </c>
      <c r="I48" s="114" t="s">
        <v>175</v>
      </c>
      <c r="J48" s="137">
        <v>139986</v>
      </c>
      <c r="K48" s="114"/>
      <c r="L48" s="137"/>
      <c r="M48" s="286"/>
    </row>
    <row r="49" spans="2:13">
      <c r="B49" s="276">
        <v>20</v>
      </c>
      <c r="C49" s="265" t="s">
        <v>408</v>
      </c>
      <c r="D49" s="265">
        <v>822.61</v>
      </c>
      <c r="E49" s="265" t="s">
        <v>220</v>
      </c>
      <c r="F49" s="265">
        <v>10</v>
      </c>
      <c r="G49" s="114" t="s">
        <v>273</v>
      </c>
      <c r="H49" s="137">
        <v>3454.9656749999995</v>
      </c>
      <c r="I49" s="114" t="s">
        <v>337</v>
      </c>
      <c r="J49" s="137">
        <v>987.13304999999991</v>
      </c>
      <c r="K49" s="114" t="s">
        <v>312</v>
      </c>
      <c r="L49" s="137">
        <v>28.791380624999999</v>
      </c>
      <c r="M49" s="275" t="s">
        <v>456</v>
      </c>
    </row>
    <row r="50" spans="2:13">
      <c r="B50" s="276"/>
      <c r="C50" s="265"/>
      <c r="D50" s="265"/>
      <c r="E50" s="265"/>
      <c r="F50" s="265"/>
      <c r="G50" s="114" t="s">
        <v>272</v>
      </c>
      <c r="H50" s="137">
        <v>1727.4828374999997</v>
      </c>
      <c r="I50" s="114" t="s">
        <v>406</v>
      </c>
      <c r="J50" s="137">
        <v>394.85321999999996</v>
      </c>
      <c r="K50" s="114"/>
      <c r="L50" s="137"/>
      <c r="M50" s="275"/>
    </row>
    <row r="51" spans="2:13">
      <c r="B51" s="276"/>
      <c r="C51" s="265"/>
      <c r="D51" s="265"/>
      <c r="E51" s="265"/>
      <c r="F51" s="265"/>
      <c r="G51" s="114" t="s">
        <v>264</v>
      </c>
      <c r="H51" s="137">
        <v>287.91380624999999</v>
      </c>
      <c r="I51" s="114" t="s">
        <v>405</v>
      </c>
      <c r="J51" s="137">
        <v>719.78451562499993</v>
      </c>
      <c r="K51" s="114"/>
      <c r="L51" s="137"/>
      <c r="M51" s="275"/>
    </row>
    <row r="52" spans="2:13">
      <c r="B52" s="283">
        <v>21</v>
      </c>
      <c r="C52" s="284" t="s">
        <v>404</v>
      </c>
      <c r="D52" s="285">
        <v>219.36</v>
      </c>
      <c r="E52" s="284" t="s">
        <v>220</v>
      </c>
      <c r="F52" s="284">
        <v>6</v>
      </c>
      <c r="G52" s="114" t="s">
        <v>273</v>
      </c>
      <c r="H52" s="122">
        <v>307.10806000000002</v>
      </c>
      <c r="I52" s="114" t="s">
        <v>334</v>
      </c>
      <c r="J52" s="122">
        <v>1.0968145</v>
      </c>
      <c r="K52" s="136"/>
      <c r="L52" s="135"/>
      <c r="M52" s="286" t="s">
        <v>455</v>
      </c>
    </row>
    <row r="53" spans="2:13">
      <c r="B53" s="283"/>
      <c r="C53" s="284"/>
      <c r="D53" s="285"/>
      <c r="E53" s="284"/>
      <c r="F53" s="284"/>
      <c r="G53" s="114" t="s">
        <v>272</v>
      </c>
      <c r="H53" s="122">
        <v>307.10806000000002</v>
      </c>
      <c r="I53" s="114" t="s">
        <v>333</v>
      </c>
      <c r="J53" s="122">
        <v>513.30918599999995</v>
      </c>
      <c r="K53" s="136"/>
      <c r="L53" s="135"/>
      <c r="M53" s="286"/>
    </row>
    <row r="54" spans="2:13">
      <c r="B54" s="283"/>
      <c r="C54" s="284"/>
      <c r="D54" s="285"/>
      <c r="E54" s="284"/>
      <c r="F54" s="284"/>
      <c r="G54" s="114" t="s">
        <v>266</v>
      </c>
      <c r="H54" s="122">
        <v>30.710806000000002</v>
      </c>
      <c r="I54" s="136"/>
      <c r="J54" s="135"/>
      <c r="K54" s="136"/>
      <c r="L54" s="135"/>
      <c r="M54" s="286"/>
    </row>
    <row r="55" spans="2:13">
      <c r="B55" s="283"/>
      <c r="C55" s="284"/>
      <c r="D55" s="285"/>
      <c r="E55" s="284"/>
      <c r="F55" s="284"/>
      <c r="G55" s="114" t="s">
        <v>264</v>
      </c>
      <c r="H55" s="143">
        <v>30.710806000000002</v>
      </c>
      <c r="I55" s="114"/>
      <c r="J55" s="122"/>
      <c r="K55" s="114"/>
      <c r="L55" s="122"/>
      <c r="M55" s="286"/>
    </row>
    <row r="56" spans="2:13">
      <c r="B56" s="276">
        <v>22</v>
      </c>
      <c r="C56" s="265" t="s">
        <v>384</v>
      </c>
      <c r="D56" s="265">
        <v>3037.89</v>
      </c>
      <c r="E56" s="265" t="s">
        <v>220</v>
      </c>
      <c r="F56" s="265">
        <v>10</v>
      </c>
      <c r="G56" s="114" t="s">
        <v>273</v>
      </c>
      <c r="H56" s="135">
        <v>10632.615</v>
      </c>
      <c r="I56" s="136"/>
      <c r="J56" s="135"/>
      <c r="K56" s="114"/>
      <c r="L56" s="135"/>
      <c r="M56" s="275" t="s">
        <v>454</v>
      </c>
    </row>
    <row r="57" spans="2:13">
      <c r="B57" s="276"/>
      <c r="C57" s="265"/>
      <c r="D57" s="265"/>
      <c r="E57" s="265"/>
      <c r="F57" s="265"/>
      <c r="G57" s="114" t="s">
        <v>264</v>
      </c>
      <c r="H57" s="135">
        <v>531.63075000000003</v>
      </c>
      <c r="I57" s="134"/>
      <c r="J57" s="133"/>
      <c r="K57" s="134"/>
      <c r="L57" s="133"/>
      <c r="M57" s="275"/>
    </row>
    <row r="58" spans="2:13">
      <c r="B58" s="138">
        <v>23</v>
      </c>
      <c r="C58" s="259" t="s">
        <v>453</v>
      </c>
      <c r="D58" s="260"/>
      <c r="E58" s="260"/>
      <c r="F58" s="260"/>
      <c r="G58" s="260"/>
      <c r="H58" s="260"/>
      <c r="I58" s="260"/>
      <c r="J58" s="260"/>
      <c r="K58" s="260"/>
      <c r="L58" s="260"/>
      <c r="M58" s="261"/>
    </row>
    <row r="59" spans="2:13">
      <c r="B59" s="276">
        <v>24</v>
      </c>
      <c r="C59" s="265" t="s">
        <v>395</v>
      </c>
      <c r="D59" s="265">
        <v>27353.25</v>
      </c>
      <c r="E59" s="265" t="s">
        <v>220</v>
      </c>
      <c r="F59" s="265">
        <v>13</v>
      </c>
      <c r="G59" s="114" t="s">
        <v>273</v>
      </c>
      <c r="H59" s="122">
        <v>48136.24794216</v>
      </c>
      <c r="I59" s="119"/>
      <c r="J59" s="122"/>
      <c r="K59" s="114" t="s">
        <v>394</v>
      </c>
      <c r="L59" s="122">
        <v>39711.447188559992</v>
      </c>
      <c r="M59" s="275" t="s">
        <v>452</v>
      </c>
    </row>
    <row r="60" spans="2:13">
      <c r="B60" s="276"/>
      <c r="C60" s="265"/>
      <c r="D60" s="265"/>
      <c r="E60" s="265"/>
      <c r="F60" s="265"/>
      <c r="G60" s="114" t="s">
        <v>264</v>
      </c>
      <c r="H60" s="122">
        <v>4805.9658844399992</v>
      </c>
      <c r="I60" s="119"/>
      <c r="J60" s="122"/>
      <c r="K60" s="114" t="s">
        <v>308</v>
      </c>
      <c r="L60" s="135">
        <v>8988.2776871200003</v>
      </c>
      <c r="M60" s="275"/>
    </row>
    <row r="61" spans="2:13">
      <c r="B61" s="283">
        <v>25</v>
      </c>
      <c r="C61" s="284" t="s">
        <v>392</v>
      </c>
      <c r="D61" s="285">
        <v>24853.58</v>
      </c>
      <c r="E61" s="284" t="s">
        <v>220</v>
      </c>
      <c r="F61" s="284">
        <v>14</v>
      </c>
      <c r="G61" s="114" t="s">
        <v>273</v>
      </c>
      <c r="H61" s="122">
        <v>43580.751127199997</v>
      </c>
      <c r="I61" s="114"/>
      <c r="J61" s="122"/>
      <c r="K61" s="136"/>
      <c r="L61" s="135"/>
      <c r="M61" s="286" t="s">
        <v>451</v>
      </c>
    </row>
    <row r="62" spans="2:13">
      <c r="B62" s="283"/>
      <c r="C62" s="284"/>
      <c r="D62" s="285"/>
      <c r="E62" s="284"/>
      <c r="F62" s="284"/>
      <c r="G62" s="114" t="s">
        <v>264</v>
      </c>
      <c r="H62" s="122">
        <v>2179.0375563600001</v>
      </c>
      <c r="I62" s="136"/>
      <c r="J62" s="135"/>
      <c r="K62" s="136"/>
      <c r="L62" s="135"/>
      <c r="M62" s="286"/>
    </row>
    <row r="63" spans="2:13">
      <c r="B63" s="283">
        <v>26</v>
      </c>
      <c r="C63" s="284" t="s">
        <v>390</v>
      </c>
      <c r="D63" s="285">
        <v>182.21000000000004</v>
      </c>
      <c r="E63" s="284" t="s">
        <v>220</v>
      </c>
      <c r="F63" s="284">
        <v>5</v>
      </c>
      <c r="G63" s="114" t="s">
        <v>273</v>
      </c>
      <c r="H63" s="122">
        <v>1275.4700000000003</v>
      </c>
      <c r="I63" s="114" t="s">
        <v>333</v>
      </c>
      <c r="J63" s="137">
        <v>48650.070000000007</v>
      </c>
      <c r="K63" s="119"/>
      <c r="L63" s="122"/>
      <c r="M63" s="286" t="s">
        <v>450</v>
      </c>
    </row>
    <row r="64" spans="2:13">
      <c r="B64" s="283"/>
      <c r="C64" s="284"/>
      <c r="D64" s="285"/>
      <c r="E64" s="284"/>
      <c r="F64" s="284"/>
      <c r="G64" s="114" t="s">
        <v>388</v>
      </c>
      <c r="H64" s="122">
        <v>318.86750000000006</v>
      </c>
      <c r="I64" s="114" t="s">
        <v>245</v>
      </c>
      <c r="J64" s="137">
        <v>158704.91000000003</v>
      </c>
      <c r="K64" s="119"/>
      <c r="L64" s="122"/>
      <c r="M64" s="286"/>
    </row>
    <row r="65" spans="2:13">
      <c r="B65" s="283"/>
      <c r="C65" s="284"/>
      <c r="D65" s="285"/>
      <c r="E65" s="284"/>
      <c r="F65" s="284"/>
      <c r="G65" s="114" t="s">
        <v>266</v>
      </c>
      <c r="H65" s="122">
        <v>31.886750000000006</v>
      </c>
      <c r="I65" s="114" t="s">
        <v>332</v>
      </c>
      <c r="J65" s="137">
        <v>183849.89000000004</v>
      </c>
      <c r="K65" s="119"/>
      <c r="L65" s="135"/>
      <c r="M65" s="286"/>
    </row>
    <row r="66" spans="2:13">
      <c r="B66" s="283"/>
      <c r="C66" s="284"/>
      <c r="D66" s="285"/>
      <c r="E66" s="284"/>
      <c r="F66" s="284"/>
      <c r="G66" s="114" t="s">
        <v>264</v>
      </c>
      <c r="H66" s="122">
        <v>127.54700000000003</v>
      </c>
      <c r="I66" s="114" t="s">
        <v>175</v>
      </c>
      <c r="J66" s="137">
        <v>36806.420000000006</v>
      </c>
      <c r="K66" s="119"/>
      <c r="L66" s="135"/>
      <c r="M66" s="286"/>
    </row>
    <row r="67" spans="2:13">
      <c r="B67" s="276">
        <v>27</v>
      </c>
      <c r="C67" s="265" t="s">
        <v>408</v>
      </c>
      <c r="D67" s="265">
        <v>995.65</v>
      </c>
      <c r="E67" s="265" t="s">
        <v>220</v>
      </c>
      <c r="F67" s="265">
        <v>11</v>
      </c>
      <c r="G67" s="114" t="s">
        <v>273</v>
      </c>
      <c r="H67" s="137">
        <v>4181.7195000000002</v>
      </c>
      <c r="I67" s="114" t="s">
        <v>337</v>
      </c>
      <c r="J67" s="137">
        <v>1194.777</v>
      </c>
      <c r="K67" s="114" t="s">
        <v>312</v>
      </c>
      <c r="L67" s="137">
        <v>34.847662500000006</v>
      </c>
      <c r="M67" s="275" t="s">
        <v>449</v>
      </c>
    </row>
    <row r="68" spans="2:13">
      <c r="B68" s="276"/>
      <c r="C68" s="265"/>
      <c r="D68" s="265"/>
      <c r="E68" s="265"/>
      <c r="F68" s="265"/>
      <c r="G68" s="114" t="s">
        <v>272</v>
      </c>
      <c r="H68" s="137">
        <v>2090.8597500000001</v>
      </c>
      <c r="I68" s="114" t="s">
        <v>406</v>
      </c>
      <c r="J68" s="137">
        <v>477.91079999999999</v>
      </c>
      <c r="K68" s="114"/>
      <c r="L68" s="137"/>
      <c r="M68" s="275"/>
    </row>
    <row r="69" spans="2:13">
      <c r="B69" s="276"/>
      <c r="C69" s="265"/>
      <c r="D69" s="265"/>
      <c r="E69" s="265"/>
      <c r="F69" s="265"/>
      <c r="G69" s="114" t="s">
        <v>264</v>
      </c>
      <c r="H69" s="137">
        <v>348.47662500000001</v>
      </c>
      <c r="I69" s="114" t="s">
        <v>335</v>
      </c>
      <c r="J69" s="137">
        <v>871.19156250000003</v>
      </c>
      <c r="K69" s="114"/>
      <c r="L69" s="137"/>
      <c r="M69" s="275"/>
    </row>
    <row r="70" spans="2:13">
      <c r="B70" s="283">
        <v>28</v>
      </c>
      <c r="C70" s="284" t="s">
        <v>404</v>
      </c>
      <c r="D70" s="285">
        <v>265.51</v>
      </c>
      <c r="E70" s="284" t="s">
        <v>220</v>
      </c>
      <c r="F70" s="284">
        <v>7</v>
      </c>
      <c r="G70" s="114" t="s">
        <v>273</v>
      </c>
      <c r="H70" s="122">
        <v>371.70840000000004</v>
      </c>
      <c r="I70" s="114" t="s">
        <v>334</v>
      </c>
      <c r="J70" s="122">
        <v>1.3275300000000001</v>
      </c>
      <c r="K70" s="136"/>
      <c r="L70" s="135"/>
      <c r="M70" s="286" t="s">
        <v>448</v>
      </c>
    </row>
    <row r="71" spans="2:13">
      <c r="B71" s="283"/>
      <c r="C71" s="284"/>
      <c r="D71" s="285"/>
      <c r="E71" s="284"/>
      <c r="F71" s="284"/>
      <c r="G71" s="114" t="s">
        <v>272</v>
      </c>
      <c r="H71" s="122">
        <v>371.70840000000004</v>
      </c>
      <c r="I71" s="114" t="s">
        <v>333</v>
      </c>
      <c r="J71" s="122">
        <v>621.28404</v>
      </c>
      <c r="K71" s="136"/>
      <c r="L71" s="135"/>
      <c r="M71" s="286"/>
    </row>
    <row r="72" spans="2:13">
      <c r="B72" s="283"/>
      <c r="C72" s="284"/>
      <c r="D72" s="285"/>
      <c r="E72" s="284"/>
      <c r="F72" s="284"/>
      <c r="G72" s="114" t="s">
        <v>266</v>
      </c>
      <c r="H72" s="122">
        <v>37.170840000000005</v>
      </c>
      <c r="I72" s="136"/>
      <c r="J72" s="135"/>
      <c r="K72" s="136"/>
      <c r="L72" s="135"/>
      <c r="M72" s="286"/>
    </row>
    <row r="73" spans="2:13">
      <c r="B73" s="283"/>
      <c r="C73" s="284"/>
      <c r="D73" s="285"/>
      <c r="E73" s="284"/>
      <c r="F73" s="284"/>
      <c r="G73" s="114" t="s">
        <v>264</v>
      </c>
      <c r="H73" s="122">
        <v>37.170840000000005</v>
      </c>
      <c r="I73" s="114"/>
      <c r="J73" s="122"/>
      <c r="K73" s="114"/>
      <c r="L73" s="122"/>
      <c r="M73" s="286"/>
    </row>
    <row r="74" spans="2:13">
      <c r="B74" s="262">
        <v>29</v>
      </c>
      <c r="C74" s="272" t="s">
        <v>447</v>
      </c>
      <c r="D74" s="266">
        <v>6838.3122999999996</v>
      </c>
      <c r="E74" s="272" t="s">
        <v>182</v>
      </c>
      <c r="F74" s="272">
        <v>6</v>
      </c>
      <c r="G74" s="114" t="s">
        <v>273</v>
      </c>
      <c r="H74" s="122">
        <v>4786.8186100000003</v>
      </c>
      <c r="I74" s="114" t="s">
        <v>446</v>
      </c>
      <c r="J74" s="122">
        <v>6838.3122999999996</v>
      </c>
      <c r="K74" s="114"/>
      <c r="L74" s="122"/>
      <c r="M74" s="289" t="s">
        <v>445</v>
      </c>
    </row>
    <row r="75" spans="2:13">
      <c r="B75" s="263"/>
      <c r="C75" s="273"/>
      <c r="D75" s="267"/>
      <c r="E75" s="273"/>
      <c r="F75" s="273"/>
      <c r="G75" s="114" t="s">
        <v>355</v>
      </c>
      <c r="H75" s="122">
        <v>4786.8186100000003</v>
      </c>
      <c r="I75" s="114"/>
      <c r="J75" s="122"/>
      <c r="K75" s="114"/>
      <c r="L75" s="122"/>
      <c r="M75" s="290"/>
    </row>
    <row r="76" spans="2:13">
      <c r="B76" s="263"/>
      <c r="C76" s="273"/>
      <c r="D76" s="267"/>
      <c r="E76" s="273"/>
      <c r="F76" s="273"/>
      <c r="G76" s="114" t="s">
        <v>266</v>
      </c>
      <c r="H76" s="122">
        <v>2872.0911659999997</v>
      </c>
      <c r="I76" s="114"/>
      <c r="J76" s="122"/>
      <c r="K76" s="114"/>
      <c r="L76" s="122"/>
      <c r="M76" s="290"/>
    </row>
    <row r="77" spans="2:13">
      <c r="B77" s="264"/>
      <c r="C77" s="274"/>
      <c r="D77" s="268"/>
      <c r="E77" s="274"/>
      <c r="F77" s="274"/>
      <c r="G77" s="114" t="s">
        <v>264</v>
      </c>
      <c r="H77" s="122">
        <v>957.36372199999994</v>
      </c>
      <c r="I77" s="114"/>
      <c r="J77" s="122"/>
      <c r="K77" s="114"/>
      <c r="L77" s="122"/>
      <c r="M77" s="291"/>
    </row>
    <row r="78" spans="2:13">
      <c r="B78" s="276">
        <v>30</v>
      </c>
      <c r="C78" s="265" t="s">
        <v>384</v>
      </c>
      <c r="D78" s="288">
        <v>2499.67</v>
      </c>
      <c r="E78" s="265" t="s">
        <v>220</v>
      </c>
      <c r="F78" s="265">
        <v>4</v>
      </c>
      <c r="G78" s="114" t="s">
        <v>273</v>
      </c>
      <c r="H78" s="135">
        <v>8748.8450000000012</v>
      </c>
      <c r="I78" s="136"/>
      <c r="J78" s="135"/>
      <c r="K78" s="114"/>
      <c r="L78" s="135"/>
      <c r="M78" s="275" t="s">
        <v>444</v>
      </c>
    </row>
    <row r="79" spans="2:13">
      <c r="B79" s="276"/>
      <c r="C79" s="265"/>
      <c r="D79" s="288"/>
      <c r="E79" s="265"/>
      <c r="F79" s="265"/>
      <c r="G79" s="114" t="s">
        <v>264</v>
      </c>
      <c r="H79" s="135">
        <v>437.44225</v>
      </c>
      <c r="I79" s="134"/>
      <c r="J79" s="133"/>
      <c r="K79" s="134"/>
      <c r="L79" s="133"/>
      <c r="M79" s="275"/>
    </row>
    <row r="80" spans="2:13">
      <c r="B80" s="138">
        <v>31</v>
      </c>
      <c r="C80" s="259" t="s">
        <v>443</v>
      </c>
      <c r="D80" s="260"/>
      <c r="E80" s="260"/>
      <c r="F80" s="260"/>
      <c r="G80" s="260"/>
      <c r="H80" s="260"/>
      <c r="I80" s="260"/>
      <c r="J80" s="260"/>
      <c r="K80" s="260"/>
      <c r="L80" s="260"/>
      <c r="M80" s="261"/>
    </row>
    <row r="81" spans="2:13">
      <c r="B81" s="142">
        <v>32</v>
      </c>
      <c r="C81" s="292" t="s">
        <v>442</v>
      </c>
      <c r="D81" s="293"/>
      <c r="E81" s="293"/>
      <c r="F81" s="293"/>
      <c r="G81" s="293"/>
      <c r="H81" s="293"/>
      <c r="I81" s="293"/>
      <c r="J81" s="293"/>
      <c r="K81" s="293"/>
      <c r="L81" s="293"/>
      <c r="M81" s="294"/>
    </row>
    <row r="82" spans="2:13">
      <c r="B82" s="276">
        <v>33</v>
      </c>
      <c r="C82" s="265" t="s">
        <v>395</v>
      </c>
      <c r="D82" s="295">
        <v>104.61</v>
      </c>
      <c r="E82" s="295" t="s">
        <v>220</v>
      </c>
      <c r="F82" s="295">
        <v>1</v>
      </c>
      <c r="G82" s="114" t="s">
        <v>273</v>
      </c>
      <c r="H82" s="122">
        <v>184.08845448000002</v>
      </c>
      <c r="I82" s="119"/>
      <c r="J82" s="122"/>
      <c r="K82" s="114" t="s">
        <v>394</v>
      </c>
      <c r="L82" s="122">
        <v>151.86931368</v>
      </c>
      <c r="M82" s="275" t="s">
        <v>441</v>
      </c>
    </row>
    <row r="83" spans="2:13">
      <c r="B83" s="276"/>
      <c r="C83" s="265"/>
      <c r="D83" s="271"/>
      <c r="E83" s="271"/>
      <c r="F83" s="271"/>
      <c r="G83" s="114" t="s">
        <v>264</v>
      </c>
      <c r="H83" s="122">
        <v>18.379555320000001</v>
      </c>
      <c r="I83" s="119"/>
      <c r="J83" s="122"/>
      <c r="K83" s="114" t="s">
        <v>308</v>
      </c>
      <c r="L83" s="135">
        <v>34.374057360000002</v>
      </c>
      <c r="M83" s="275"/>
    </row>
    <row r="84" spans="2:13">
      <c r="B84" s="283">
        <v>34</v>
      </c>
      <c r="C84" s="284" t="s">
        <v>392</v>
      </c>
      <c r="D84" s="285">
        <v>93.87</v>
      </c>
      <c r="E84" s="284" t="s">
        <v>220</v>
      </c>
      <c r="F84" s="284">
        <v>1</v>
      </c>
      <c r="G84" s="114" t="s">
        <v>273</v>
      </c>
      <c r="H84" s="122">
        <v>164.59683660000002</v>
      </c>
      <c r="I84" s="114"/>
      <c r="J84" s="122"/>
      <c r="K84" s="136"/>
      <c r="L84" s="135"/>
      <c r="M84" s="286" t="s">
        <v>440</v>
      </c>
    </row>
    <row r="85" spans="2:13">
      <c r="B85" s="283"/>
      <c r="C85" s="284"/>
      <c r="D85" s="285"/>
      <c r="E85" s="284"/>
      <c r="F85" s="284"/>
      <c r="G85" s="114" t="s">
        <v>264</v>
      </c>
      <c r="H85" s="122">
        <v>8.2298418299999998</v>
      </c>
      <c r="I85" s="136"/>
      <c r="J85" s="135"/>
      <c r="K85" s="136"/>
      <c r="L85" s="135"/>
      <c r="M85" s="286"/>
    </row>
    <row r="86" spans="2:13">
      <c r="B86" s="276">
        <v>35</v>
      </c>
      <c r="C86" s="265" t="s">
        <v>439</v>
      </c>
      <c r="D86" s="265">
        <v>154.13999999999999</v>
      </c>
      <c r="E86" s="265" t="s">
        <v>325</v>
      </c>
      <c r="F86" s="265">
        <v>1</v>
      </c>
      <c r="G86" s="114" t="s">
        <v>273</v>
      </c>
      <c r="H86" s="122">
        <v>32.367720000000006</v>
      </c>
      <c r="I86" s="114" t="s">
        <v>438</v>
      </c>
      <c r="J86" s="122">
        <v>154.13200000000001</v>
      </c>
      <c r="K86" s="136"/>
      <c r="L86" s="135"/>
      <c r="M86" s="275" t="s">
        <v>437</v>
      </c>
    </row>
    <row r="87" spans="2:13">
      <c r="B87" s="276"/>
      <c r="C87" s="265"/>
      <c r="D87" s="265"/>
      <c r="E87" s="265"/>
      <c r="F87" s="265"/>
      <c r="G87" s="114" t="s">
        <v>270</v>
      </c>
      <c r="H87" s="122">
        <v>32.367720000000006</v>
      </c>
      <c r="I87" s="114" t="s">
        <v>330</v>
      </c>
      <c r="J87" s="122">
        <v>1.54132</v>
      </c>
      <c r="K87" s="136"/>
      <c r="L87" s="135"/>
      <c r="M87" s="275"/>
    </row>
    <row r="88" spans="2:13">
      <c r="B88" s="276"/>
      <c r="C88" s="265"/>
      <c r="D88" s="265"/>
      <c r="E88" s="265"/>
      <c r="F88" s="265"/>
      <c r="G88" s="114" t="s">
        <v>266</v>
      </c>
      <c r="H88" s="122">
        <v>3.2367720000000002</v>
      </c>
      <c r="I88" s="114"/>
      <c r="J88" s="122"/>
      <c r="K88" s="136"/>
      <c r="L88" s="135"/>
      <c r="M88" s="275"/>
    </row>
    <row r="89" spans="2:13">
      <c r="B89" s="276"/>
      <c r="C89" s="265"/>
      <c r="D89" s="265"/>
      <c r="E89" s="265"/>
      <c r="F89" s="265"/>
      <c r="G89" s="114" t="s">
        <v>264</v>
      </c>
      <c r="H89" s="122">
        <v>3.2367720000000002</v>
      </c>
      <c r="I89" s="136"/>
      <c r="J89" s="135"/>
      <c r="K89" s="136"/>
      <c r="L89" s="135"/>
      <c r="M89" s="275"/>
    </row>
    <row r="90" spans="2:13">
      <c r="B90" s="283">
        <v>36</v>
      </c>
      <c r="C90" s="284" t="s">
        <v>436</v>
      </c>
      <c r="D90" s="296">
        <v>214.8</v>
      </c>
      <c r="E90" s="284" t="s">
        <v>182</v>
      </c>
      <c r="F90" s="284">
        <v>3</v>
      </c>
      <c r="G90" s="114" t="s">
        <v>273</v>
      </c>
      <c r="H90" s="122">
        <v>360.86399999999998</v>
      </c>
      <c r="I90" s="114" t="s">
        <v>435</v>
      </c>
      <c r="J90" s="122">
        <v>27.494400000000002</v>
      </c>
      <c r="K90" s="136"/>
      <c r="L90" s="122"/>
      <c r="M90" s="286" t="s">
        <v>434</v>
      </c>
    </row>
    <row r="91" spans="2:13">
      <c r="B91" s="283"/>
      <c r="C91" s="284"/>
      <c r="D91" s="296"/>
      <c r="E91" s="284"/>
      <c r="F91" s="284"/>
      <c r="G91" s="114" t="s">
        <v>354</v>
      </c>
      <c r="H91" s="122">
        <v>180.43199999999999</v>
      </c>
      <c r="I91" s="114" t="s">
        <v>433</v>
      </c>
      <c r="J91" s="122">
        <v>2.3628</v>
      </c>
      <c r="K91" s="136"/>
      <c r="L91" s="135"/>
      <c r="M91" s="286"/>
    </row>
    <row r="92" spans="2:13">
      <c r="B92" s="283"/>
      <c r="C92" s="284"/>
      <c r="D92" s="296"/>
      <c r="E92" s="284"/>
      <c r="F92" s="284"/>
      <c r="G92" s="114" t="s">
        <v>266</v>
      </c>
      <c r="H92" s="122">
        <v>18.043200000000002</v>
      </c>
      <c r="I92" s="114" t="s">
        <v>326</v>
      </c>
      <c r="J92" s="122">
        <v>53.7</v>
      </c>
      <c r="K92" s="136"/>
      <c r="L92" s="135"/>
      <c r="M92" s="286"/>
    </row>
    <row r="93" spans="2:13">
      <c r="B93" s="283"/>
      <c r="C93" s="284"/>
      <c r="D93" s="296"/>
      <c r="E93" s="284"/>
      <c r="F93" s="284"/>
      <c r="G93" s="114" t="s">
        <v>264</v>
      </c>
      <c r="H93" s="122">
        <v>36.086400000000005</v>
      </c>
      <c r="I93" s="114" t="s">
        <v>324</v>
      </c>
      <c r="J93" s="122">
        <v>42.960000000000008</v>
      </c>
      <c r="K93" s="136"/>
      <c r="L93" s="135"/>
      <c r="M93" s="286"/>
    </row>
    <row r="94" spans="2:13">
      <c r="B94" s="283">
        <v>37</v>
      </c>
      <c r="C94" s="284" t="s">
        <v>432</v>
      </c>
      <c r="D94" s="285">
        <v>125.23</v>
      </c>
      <c r="E94" s="284" t="s">
        <v>220</v>
      </c>
      <c r="F94" s="284">
        <v>3</v>
      </c>
      <c r="G94" s="114" t="s">
        <v>273</v>
      </c>
      <c r="H94" s="135">
        <v>876.5988000000001</v>
      </c>
      <c r="I94" s="114" t="s">
        <v>333</v>
      </c>
      <c r="J94" s="137">
        <v>43579.483200000002</v>
      </c>
      <c r="K94" s="114" t="s">
        <v>394</v>
      </c>
      <c r="L94" s="137">
        <v>10.343865840000001</v>
      </c>
      <c r="M94" s="286" t="s">
        <v>431</v>
      </c>
    </row>
    <row r="95" spans="2:13" ht="15.6">
      <c r="B95" s="283"/>
      <c r="C95" s="284"/>
      <c r="D95" s="285"/>
      <c r="E95" s="284"/>
      <c r="F95" s="284"/>
      <c r="G95" s="114" t="s">
        <v>13</v>
      </c>
      <c r="H95" s="122">
        <v>219.14970000000002</v>
      </c>
      <c r="I95" s="114" t="s">
        <v>334</v>
      </c>
      <c r="J95" s="137">
        <v>98930.436000000002</v>
      </c>
      <c r="K95" s="114" t="s">
        <v>311</v>
      </c>
      <c r="L95" s="137">
        <v>17.619635880000001</v>
      </c>
      <c r="M95" s="286"/>
    </row>
    <row r="96" spans="2:13">
      <c r="B96" s="283"/>
      <c r="C96" s="284"/>
      <c r="D96" s="285"/>
      <c r="E96" s="284"/>
      <c r="F96" s="284"/>
      <c r="G96" s="114" t="s">
        <v>266</v>
      </c>
      <c r="H96" s="122">
        <v>21.914970000000004</v>
      </c>
      <c r="I96" s="114" t="s">
        <v>332</v>
      </c>
      <c r="J96" s="137">
        <v>126355.4556</v>
      </c>
      <c r="K96" s="114" t="s">
        <v>310</v>
      </c>
      <c r="L96" s="137">
        <v>42.243296172000001</v>
      </c>
      <c r="M96" s="286"/>
    </row>
    <row r="97" spans="2:13">
      <c r="B97" s="283"/>
      <c r="C97" s="284"/>
      <c r="D97" s="285"/>
      <c r="E97" s="284"/>
      <c r="F97" s="284"/>
      <c r="G97" s="114" t="s">
        <v>264</v>
      </c>
      <c r="H97" s="122">
        <v>87.659880000000015</v>
      </c>
      <c r="I97" s="114" t="s">
        <v>175</v>
      </c>
      <c r="J97" s="137">
        <v>25296.1368</v>
      </c>
      <c r="K97" s="114"/>
      <c r="L97" s="137"/>
      <c r="M97" s="286"/>
    </row>
    <row r="98" spans="2:13">
      <c r="B98" s="276">
        <v>38</v>
      </c>
      <c r="C98" s="265" t="s">
        <v>384</v>
      </c>
      <c r="D98" s="265">
        <v>10.74</v>
      </c>
      <c r="E98" s="265" t="s">
        <v>220</v>
      </c>
      <c r="F98" s="265">
        <v>1</v>
      </c>
      <c r="G98" s="114" t="s">
        <v>273</v>
      </c>
      <c r="H98" s="135">
        <v>37.590000000000003</v>
      </c>
      <c r="I98" s="136"/>
      <c r="J98" s="135"/>
      <c r="K98" s="114"/>
      <c r="L98" s="135"/>
      <c r="M98" s="275" t="s">
        <v>430</v>
      </c>
    </row>
    <row r="99" spans="2:13">
      <c r="B99" s="276"/>
      <c r="C99" s="265"/>
      <c r="D99" s="265"/>
      <c r="E99" s="265"/>
      <c r="F99" s="265"/>
      <c r="G99" s="114" t="s">
        <v>264</v>
      </c>
      <c r="H99" s="135">
        <v>1.8795000000000002</v>
      </c>
      <c r="I99" s="134"/>
      <c r="J99" s="133"/>
      <c r="K99" s="134"/>
      <c r="L99" s="133"/>
      <c r="M99" s="275"/>
    </row>
    <row r="100" spans="2:13">
      <c r="B100" s="142">
        <v>39</v>
      </c>
      <c r="C100" s="292" t="s">
        <v>429</v>
      </c>
      <c r="D100" s="293"/>
      <c r="E100" s="293"/>
      <c r="F100" s="293"/>
      <c r="G100" s="293"/>
      <c r="H100" s="293"/>
      <c r="I100" s="293"/>
      <c r="J100" s="293"/>
      <c r="K100" s="293"/>
      <c r="L100" s="293"/>
      <c r="M100" s="294"/>
    </row>
    <row r="101" spans="2:13">
      <c r="B101" s="276">
        <v>40</v>
      </c>
      <c r="C101" s="265" t="s">
        <v>395</v>
      </c>
      <c r="D101" s="265">
        <v>2442.96</v>
      </c>
      <c r="E101" s="265" t="s">
        <v>220</v>
      </c>
      <c r="F101" s="265">
        <v>4</v>
      </c>
      <c r="G101" s="114" t="s">
        <v>273</v>
      </c>
      <c r="H101" s="122">
        <v>4299.1210080000001</v>
      </c>
      <c r="I101" s="119"/>
      <c r="J101" s="122"/>
      <c r="K101" s="114" t="s">
        <v>394</v>
      </c>
      <c r="L101" s="122">
        <v>3546.6893280000004</v>
      </c>
      <c r="M101" s="275" t="s">
        <v>428</v>
      </c>
    </row>
    <row r="102" spans="2:13">
      <c r="B102" s="276"/>
      <c r="C102" s="265"/>
      <c r="D102" s="265"/>
      <c r="E102" s="265"/>
      <c r="F102" s="265"/>
      <c r="G102" s="114" t="s">
        <v>264</v>
      </c>
      <c r="H102" s="122">
        <v>429.228072</v>
      </c>
      <c r="I102" s="119"/>
      <c r="J102" s="122"/>
      <c r="K102" s="114" t="s">
        <v>308</v>
      </c>
      <c r="L102" s="135">
        <v>802.75665600000002</v>
      </c>
      <c r="M102" s="275"/>
    </row>
    <row r="103" spans="2:13">
      <c r="B103" s="283">
        <v>41</v>
      </c>
      <c r="C103" s="284" t="s">
        <v>392</v>
      </c>
      <c r="D103" s="285">
        <v>1818.96</v>
      </c>
      <c r="E103" s="284" t="s">
        <v>220</v>
      </c>
      <c r="F103" s="284">
        <v>5</v>
      </c>
      <c r="G103" s="114" t="s">
        <v>273</v>
      </c>
      <c r="H103" s="122">
        <v>3189.5463599999998</v>
      </c>
      <c r="I103" s="114"/>
      <c r="J103" s="122"/>
      <c r="K103" s="136"/>
      <c r="L103" s="135"/>
      <c r="M103" s="286" t="s">
        <v>427</v>
      </c>
    </row>
    <row r="104" spans="2:13">
      <c r="B104" s="283"/>
      <c r="C104" s="284"/>
      <c r="D104" s="285"/>
      <c r="E104" s="284"/>
      <c r="F104" s="284"/>
      <c r="G104" s="114" t="s">
        <v>264</v>
      </c>
      <c r="H104" s="122">
        <v>159.477318</v>
      </c>
      <c r="I104" s="136"/>
      <c r="J104" s="135"/>
      <c r="K104" s="136"/>
      <c r="L104" s="135"/>
      <c r="M104" s="286"/>
    </row>
    <row r="105" spans="2:13">
      <c r="B105" s="283">
        <v>42</v>
      </c>
      <c r="C105" s="284" t="s">
        <v>390</v>
      </c>
      <c r="D105" s="285">
        <v>85.800000000000011</v>
      </c>
      <c r="E105" s="284" t="s">
        <v>220</v>
      </c>
      <c r="F105" s="284">
        <v>2</v>
      </c>
      <c r="G105" s="114" t="s">
        <v>273</v>
      </c>
      <c r="H105" s="122">
        <v>600.60000000000014</v>
      </c>
      <c r="I105" s="114" t="s">
        <v>333</v>
      </c>
      <c r="J105" s="137">
        <v>22908.600000000002</v>
      </c>
      <c r="K105" s="119"/>
      <c r="L105" s="122"/>
      <c r="M105" s="286" t="s">
        <v>426</v>
      </c>
    </row>
    <row r="106" spans="2:13">
      <c r="B106" s="283"/>
      <c r="C106" s="284"/>
      <c r="D106" s="285"/>
      <c r="E106" s="284"/>
      <c r="F106" s="284"/>
      <c r="G106" s="114" t="s">
        <v>388</v>
      </c>
      <c r="H106" s="122">
        <v>150.15000000000003</v>
      </c>
      <c r="I106" s="114" t="s">
        <v>245</v>
      </c>
      <c r="J106" s="137">
        <v>74731.8</v>
      </c>
      <c r="K106" s="119"/>
      <c r="L106" s="122"/>
      <c r="M106" s="286"/>
    </row>
    <row r="107" spans="2:13">
      <c r="B107" s="283"/>
      <c r="C107" s="284"/>
      <c r="D107" s="285"/>
      <c r="E107" s="284"/>
      <c r="F107" s="284"/>
      <c r="G107" s="114" t="s">
        <v>266</v>
      </c>
      <c r="H107" s="122">
        <v>15.015000000000004</v>
      </c>
      <c r="I107" s="114" t="s">
        <v>332</v>
      </c>
      <c r="J107" s="137">
        <v>86572.200000000012</v>
      </c>
      <c r="K107" s="119"/>
      <c r="L107" s="135"/>
      <c r="M107" s="286"/>
    </row>
    <row r="108" spans="2:13">
      <c r="B108" s="283"/>
      <c r="C108" s="284"/>
      <c r="D108" s="285"/>
      <c r="E108" s="284"/>
      <c r="F108" s="284"/>
      <c r="G108" s="114" t="s">
        <v>264</v>
      </c>
      <c r="H108" s="122">
        <v>60.060000000000016</v>
      </c>
      <c r="I108" s="114" t="s">
        <v>175</v>
      </c>
      <c r="J108" s="137">
        <v>17331.600000000002</v>
      </c>
      <c r="K108" s="119"/>
      <c r="L108" s="135"/>
      <c r="M108" s="286"/>
    </row>
    <row r="109" spans="2:13">
      <c r="B109" s="276">
        <v>43</v>
      </c>
      <c r="C109" s="265" t="s">
        <v>408</v>
      </c>
      <c r="D109" s="265">
        <v>918.44999999999993</v>
      </c>
      <c r="E109" s="265" t="s">
        <v>220</v>
      </c>
      <c r="F109" s="265">
        <v>11</v>
      </c>
      <c r="G109" s="114" t="s">
        <v>273</v>
      </c>
      <c r="H109" s="137">
        <v>3857.49</v>
      </c>
      <c r="I109" s="114" t="s">
        <v>337</v>
      </c>
      <c r="J109" s="137">
        <v>1102.1399999999999</v>
      </c>
      <c r="K109" s="114" t="s">
        <v>312</v>
      </c>
      <c r="L109" s="137">
        <v>32.14575</v>
      </c>
      <c r="M109" s="275" t="s">
        <v>425</v>
      </c>
    </row>
    <row r="110" spans="2:13">
      <c r="B110" s="276"/>
      <c r="C110" s="265"/>
      <c r="D110" s="265"/>
      <c r="E110" s="265"/>
      <c r="F110" s="265"/>
      <c r="G110" s="114" t="s">
        <v>272</v>
      </c>
      <c r="H110" s="137">
        <v>1928.7449999999999</v>
      </c>
      <c r="I110" s="114" t="s">
        <v>406</v>
      </c>
      <c r="J110" s="137">
        <v>440.85599999999994</v>
      </c>
      <c r="K110" s="114"/>
      <c r="L110" s="137"/>
      <c r="M110" s="275"/>
    </row>
    <row r="111" spans="2:13">
      <c r="B111" s="276"/>
      <c r="C111" s="265"/>
      <c r="D111" s="265"/>
      <c r="E111" s="265"/>
      <c r="F111" s="265"/>
      <c r="G111" s="114" t="s">
        <v>264</v>
      </c>
      <c r="H111" s="137">
        <v>321.45749999999998</v>
      </c>
      <c r="I111" s="114" t="s">
        <v>405</v>
      </c>
      <c r="J111" s="137">
        <v>803.64374999999995</v>
      </c>
      <c r="K111" s="114"/>
      <c r="L111" s="137"/>
      <c r="M111" s="275"/>
    </row>
    <row r="112" spans="2:13">
      <c r="B112" s="283">
        <v>44</v>
      </c>
      <c r="C112" s="284" t="s">
        <v>404</v>
      </c>
      <c r="D112" s="285">
        <v>244.92</v>
      </c>
      <c r="E112" s="284" t="s">
        <v>220</v>
      </c>
      <c r="F112" s="284">
        <v>6</v>
      </c>
      <c r="G112" s="114" t="s">
        <v>273</v>
      </c>
      <c r="H112" s="122">
        <v>342.88800000000003</v>
      </c>
      <c r="I112" s="114" t="s">
        <v>334</v>
      </c>
      <c r="J112" s="122">
        <v>1.2245999999999999</v>
      </c>
      <c r="K112" s="136"/>
      <c r="L112" s="135"/>
      <c r="M112" s="286" t="s">
        <v>424</v>
      </c>
    </row>
    <row r="113" spans="2:13">
      <c r="B113" s="283"/>
      <c r="C113" s="284"/>
      <c r="D113" s="285"/>
      <c r="E113" s="284"/>
      <c r="F113" s="284"/>
      <c r="G113" s="114" t="s">
        <v>272</v>
      </c>
      <c r="H113" s="122">
        <v>342.88800000000003</v>
      </c>
      <c r="I113" s="114" t="s">
        <v>333</v>
      </c>
      <c r="J113" s="122">
        <v>573.11279999999988</v>
      </c>
      <c r="K113" s="136"/>
      <c r="L113" s="135"/>
      <c r="M113" s="286"/>
    </row>
    <row r="114" spans="2:13">
      <c r="B114" s="283"/>
      <c r="C114" s="284"/>
      <c r="D114" s="285"/>
      <c r="E114" s="284"/>
      <c r="F114" s="284"/>
      <c r="G114" s="114" t="s">
        <v>266</v>
      </c>
      <c r="H114" s="122">
        <v>34.288799999999995</v>
      </c>
      <c r="I114" s="136"/>
      <c r="J114" s="135"/>
      <c r="K114" s="136"/>
      <c r="L114" s="135"/>
      <c r="M114" s="286"/>
    </row>
    <row r="115" spans="2:13">
      <c r="B115" s="283"/>
      <c r="C115" s="284"/>
      <c r="D115" s="285"/>
      <c r="E115" s="284"/>
      <c r="F115" s="284"/>
      <c r="G115" s="114" t="s">
        <v>264</v>
      </c>
      <c r="H115" s="122">
        <v>34.288799999999995</v>
      </c>
      <c r="I115" s="114"/>
      <c r="J115" s="122"/>
      <c r="K115" s="114"/>
      <c r="L115" s="122"/>
      <c r="M115" s="286"/>
    </row>
    <row r="116" spans="2:13">
      <c r="B116" s="262">
        <v>45</v>
      </c>
      <c r="C116" s="284" t="s">
        <v>402</v>
      </c>
      <c r="D116" s="285">
        <v>61.23</v>
      </c>
      <c r="E116" s="284" t="s">
        <v>220</v>
      </c>
      <c r="F116" s="284">
        <v>1</v>
      </c>
      <c r="G116" s="114" t="s">
        <v>273</v>
      </c>
      <c r="H116" s="113">
        <v>81.43589999999999</v>
      </c>
      <c r="I116" s="114" t="s">
        <v>334</v>
      </c>
      <c r="J116" s="113">
        <v>2.3573549999999996</v>
      </c>
      <c r="K116" s="114" t="s">
        <v>312</v>
      </c>
      <c r="L116" s="113">
        <v>2.1430499999999997</v>
      </c>
      <c r="M116" s="286" t="s">
        <v>423</v>
      </c>
    </row>
    <row r="117" spans="2:13">
      <c r="B117" s="263"/>
      <c r="C117" s="284"/>
      <c r="D117" s="285"/>
      <c r="E117" s="284"/>
      <c r="F117" s="284"/>
      <c r="G117" s="114" t="s">
        <v>272</v>
      </c>
      <c r="H117" s="113">
        <v>81.43589999999999</v>
      </c>
      <c r="I117" s="114" t="s">
        <v>333</v>
      </c>
      <c r="J117" s="113">
        <v>793.54079999999999</v>
      </c>
      <c r="K117" s="119"/>
      <c r="L117" s="113"/>
      <c r="M117" s="286"/>
    </row>
    <row r="118" spans="2:13">
      <c r="B118" s="263"/>
      <c r="C118" s="284"/>
      <c r="D118" s="285"/>
      <c r="E118" s="284"/>
      <c r="F118" s="284"/>
      <c r="G118" s="114" t="s">
        <v>266</v>
      </c>
      <c r="H118" s="113">
        <v>8.1435899999999997</v>
      </c>
      <c r="I118" s="119"/>
      <c r="J118" s="113"/>
      <c r="K118" s="119"/>
      <c r="L118" s="113"/>
      <c r="M118" s="286"/>
    </row>
    <row r="119" spans="2:13">
      <c r="B119" s="264"/>
      <c r="C119" s="284"/>
      <c r="D119" s="285"/>
      <c r="E119" s="284"/>
      <c r="F119" s="284"/>
      <c r="G119" s="114" t="s">
        <v>264</v>
      </c>
      <c r="H119" s="113">
        <v>8.1435899999999997</v>
      </c>
      <c r="I119" s="119"/>
      <c r="J119" s="113"/>
      <c r="K119" s="119"/>
      <c r="L119" s="113"/>
      <c r="M119" s="286"/>
    </row>
    <row r="120" spans="2:13">
      <c r="B120" s="276">
        <v>46</v>
      </c>
      <c r="C120" s="265" t="s">
        <v>384</v>
      </c>
      <c r="D120" s="265">
        <v>624</v>
      </c>
      <c r="E120" s="265" t="s">
        <v>220</v>
      </c>
      <c r="F120" s="265">
        <v>3</v>
      </c>
      <c r="G120" s="114" t="s">
        <v>273</v>
      </c>
      <c r="H120" s="135">
        <v>2184</v>
      </c>
      <c r="I120" s="136"/>
      <c r="J120" s="135"/>
      <c r="K120" s="114"/>
      <c r="L120" s="135"/>
      <c r="M120" s="275" t="s">
        <v>422</v>
      </c>
    </row>
    <row r="121" spans="2:13">
      <c r="B121" s="276"/>
      <c r="C121" s="265"/>
      <c r="D121" s="265"/>
      <c r="E121" s="265"/>
      <c r="F121" s="265"/>
      <c r="G121" s="114" t="s">
        <v>264</v>
      </c>
      <c r="H121" s="135">
        <v>109.20000000000002</v>
      </c>
      <c r="I121" s="134"/>
      <c r="J121" s="133"/>
      <c r="K121" s="134"/>
      <c r="L121" s="133"/>
      <c r="M121" s="275"/>
    </row>
    <row r="122" spans="2:13">
      <c r="B122" s="138">
        <v>47</v>
      </c>
      <c r="C122" s="259" t="s">
        <v>421</v>
      </c>
      <c r="D122" s="260"/>
      <c r="E122" s="260"/>
      <c r="F122" s="260"/>
      <c r="G122" s="260"/>
      <c r="H122" s="260"/>
      <c r="I122" s="260"/>
      <c r="J122" s="260"/>
      <c r="K122" s="260"/>
      <c r="L122" s="260"/>
      <c r="M122" s="261"/>
    </row>
    <row r="123" spans="2:13">
      <c r="B123" s="276">
        <v>48</v>
      </c>
      <c r="C123" s="265" t="s">
        <v>395</v>
      </c>
      <c r="D123" s="265">
        <v>984.99</v>
      </c>
      <c r="E123" s="265" t="s">
        <v>220</v>
      </c>
      <c r="F123" s="265">
        <v>13</v>
      </c>
      <c r="G123" s="114" t="s">
        <v>273</v>
      </c>
      <c r="H123" s="122">
        <v>1733.3896255200002</v>
      </c>
      <c r="I123" s="119"/>
      <c r="J123" s="122"/>
      <c r="K123" s="114" t="s">
        <v>394</v>
      </c>
      <c r="L123" s="122">
        <v>1430.0119663200001</v>
      </c>
      <c r="M123" s="275" t="s">
        <v>420</v>
      </c>
    </row>
    <row r="124" spans="2:13">
      <c r="B124" s="276"/>
      <c r="C124" s="265"/>
      <c r="D124" s="265"/>
      <c r="E124" s="265"/>
      <c r="F124" s="265"/>
      <c r="G124" s="114" t="s">
        <v>264</v>
      </c>
      <c r="H124" s="122">
        <v>173.06316468</v>
      </c>
      <c r="I124" s="119"/>
      <c r="J124" s="122"/>
      <c r="K124" s="114" t="s">
        <v>308</v>
      </c>
      <c r="L124" s="135">
        <v>323.66850263999999</v>
      </c>
      <c r="M124" s="275"/>
    </row>
    <row r="125" spans="2:13">
      <c r="B125" s="283">
        <v>49</v>
      </c>
      <c r="C125" s="284" t="s">
        <v>392</v>
      </c>
      <c r="D125" s="285">
        <v>801.74</v>
      </c>
      <c r="E125" s="284" t="s">
        <v>220</v>
      </c>
      <c r="F125" s="284">
        <v>13</v>
      </c>
      <c r="G125" s="114" t="s">
        <v>273</v>
      </c>
      <c r="H125" s="122">
        <v>1405.847583</v>
      </c>
      <c r="I125" s="114"/>
      <c r="J125" s="122"/>
      <c r="K125" s="136"/>
      <c r="L125" s="135"/>
      <c r="M125" s="286" t="s">
        <v>419</v>
      </c>
    </row>
    <row r="126" spans="2:13">
      <c r="B126" s="283"/>
      <c r="C126" s="284"/>
      <c r="D126" s="285"/>
      <c r="E126" s="284"/>
      <c r="F126" s="284"/>
      <c r="G126" s="114" t="s">
        <v>264</v>
      </c>
      <c r="H126" s="122">
        <v>70.292379149999988</v>
      </c>
      <c r="I126" s="136"/>
      <c r="J126" s="135"/>
      <c r="K126" s="136"/>
      <c r="L126" s="135"/>
      <c r="M126" s="286"/>
    </row>
    <row r="127" spans="2:13">
      <c r="B127" s="283">
        <v>50</v>
      </c>
      <c r="C127" s="284" t="s">
        <v>390</v>
      </c>
      <c r="D127" s="285">
        <v>68.72</v>
      </c>
      <c r="E127" s="284" t="s">
        <v>220</v>
      </c>
      <c r="F127" s="284">
        <v>6</v>
      </c>
      <c r="G127" s="114" t="s">
        <v>273</v>
      </c>
      <c r="H127" s="122">
        <v>481.04280000000006</v>
      </c>
      <c r="I127" s="114" t="s">
        <v>333</v>
      </c>
      <c r="J127" s="137">
        <v>18348.346800000003</v>
      </c>
      <c r="K127" s="119"/>
      <c r="L127" s="122"/>
      <c r="M127" s="286" t="s">
        <v>418</v>
      </c>
    </row>
    <row r="128" spans="2:13">
      <c r="B128" s="283"/>
      <c r="C128" s="284"/>
      <c r="D128" s="285"/>
      <c r="E128" s="284"/>
      <c r="F128" s="284"/>
      <c r="G128" s="114" t="s">
        <v>388</v>
      </c>
      <c r="H128" s="122">
        <v>120.26070000000001</v>
      </c>
      <c r="I128" s="114" t="s">
        <v>245</v>
      </c>
      <c r="J128" s="137">
        <v>59855.468400000012</v>
      </c>
      <c r="K128" s="119"/>
      <c r="L128" s="122"/>
      <c r="M128" s="286"/>
    </row>
    <row r="129" spans="2:13">
      <c r="B129" s="283"/>
      <c r="C129" s="284"/>
      <c r="D129" s="285"/>
      <c r="E129" s="284"/>
      <c r="F129" s="284"/>
      <c r="G129" s="114" t="s">
        <v>266</v>
      </c>
      <c r="H129" s="122">
        <v>12.026070000000004</v>
      </c>
      <c r="I129" s="114" t="s">
        <v>332</v>
      </c>
      <c r="J129" s="137">
        <v>69338.883600000016</v>
      </c>
      <c r="K129" s="119"/>
      <c r="L129" s="135"/>
      <c r="M129" s="286"/>
    </row>
    <row r="130" spans="2:13">
      <c r="B130" s="283"/>
      <c r="C130" s="284"/>
      <c r="D130" s="285"/>
      <c r="E130" s="284"/>
      <c r="F130" s="284"/>
      <c r="G130" s="114" t="s">
        <v>264</v>
      </c>
      <c r="H130" s="122">
        <v>48.104280000000017</v>
      </c>
      <c r="I130" s="114" t="s">
        <v>175</v>
      </c>
      <c r="J130" s="137">
        <v>13881.520800000002</v>
      </c>
      <c r="K130" s="119"/>
      <c r="L130" s="135"/>
      <c r="M130" s="286"/>
    </row>
    <row r="131" spans="2:13">
      <c r="B131" s="276">
        <v>51</v>
      </c>
      <c r="C131" s="265" t="s">
        <v>408</v>
      </c>
      <c r="D131" s="265">
        <v>194.71</v>
      </c>
      <c r="E131" s="265" t="s">
        <v>220</v>
      </c>
      <c r="F131" s="265">
        <v>10</v>
      </c>
      <c r="G131" s="114" t="s">
        <v>273</v>
      </c>
      <c r="H131" s="137">
        <v>817.77276000000006</v>
      </c>
      <c r="I131" s="114" t="s">
        <v>337</v>
      </c>
      <c r="J131" s="137">
        <v>233.64936</v>
      </c>
      <c r="K131" s="114" t="s">
        <v>312</v>
      </c>
      <c r="L131" s="137">
        <v>6.8147730000000006</v>
      </c>
      <c r="M131" s="275" t="s">
        <v>417</v>
      </c>
    </row>
    <row r="132" spans="2:13">
      <c r="B132" s="276"/>
      <c r="C132" s="265"/>
      <c r="D132" s="265"/>
      <c r="E132" s="265"/>
      <c r="F132" s="265"/>
      <c r="G132" s="114" t="s">
        <v>272</v>
      </c>
      <c r="H132" s="137">
        <v>408.88638000000003</v>
      </c>
      <c r="I132" s="114" t="s">
        <v>406</v>
      </c>
      <c r="J132" s="137">
        <v>93.459744000000001</v>
      </c>
      <c r="K132" s="134"/>
      <c r="L132" s="133"/>
      <c r="M132" s="275"/>
    </row>
    <row r="133" spans="2:13">
      <c r="B133" s="276"/>
      <c r="C133" s="265"/>
      <c r="D133" s="265"/>
      <c r="E133" s="265"/>
      <c r="F133" s="265"/>
      <c r="G133" s="114" t="s">
        <v>264</v>
      </c>
      <c r="H133" s="137">
        <v>68.147730000000024</v>
      </c>
      <c r="I133" s="114" t="s">
        <v>405</v>
      </c>
      <c r="J133" s="137">
        <v>170.369325</v>
      </c>
      <c r="K133" s="136"/>
      <c r="L133" s="135"/>
      <c r="M133" s="275"/>
    </row>
    <row r="134" spans="2:13">
      <c r="B134" s="283">
        <v>52</v>
      </c>
      <c r="C134" s="284" t="s">
        <v>404</v>
      </c>
      <c r="D134" s="285">
        <v>12.98</v>
      </c>
      <c r="E134" s="284" t="s">
        <v>220</v>
      </c>
      <c r="F134" s="284">
        <v>6</v>
      </c>
      <c r="G134" s="114" t="s">
        <v>273</v>
      </c>
      <c r="H134" s="122">
        <v>18.172728000000003</v>
      </c>
      <c r="I134" s="114" t="s">
        <v>334</v>
      </c>
      <c r="J134" s="122">
        <v>6.4902600000000005E-2</v>
      </c>
      <c r="K134" s="136"/>
      <c r="L134" s="135"/>
      <c r="M134" s="286" t="s">
        <v>416</v>
      </c>
    </row>
    <row r="135" spans="2:13">
      <c r="B135" s="283"/>
      <c r="C135" s="284"/>
      <c r="D135" s="285"/>
      <c r="E135" s="284"/>
      <c r="F135" s="284"/>
      <c r="G135" s="114" t="s">
        <v>272</v>
      </c>
      <c r="H135" s="122">
        <v>18.172728000000003</v>
      </c>
      <c r="I135" s="114" t="s">
        <v>333</v>
      </c>
      <c r="J135" s="122">
        <v>30.374416800000002</v>
      </c>
      <c r="K135" s="136"/>
      <c r="L135" s="135"/>
      <c r="M135" s="286"/>
    </row>
    <row r="136" spans="2:13">
      <c r="B136" s="283"/>
      <c r="C136" s="284"/>
      <c r="D136" s="285"/>
      <c r="E136" s="284"/>
      <c r="F136" s="284"/>
      <c r="G136" s="114" t="s">
        <v>266</v>
      </c>
      <c r="H136" s="122">
        <v>1.8172728</v>
      </c>
      <c r="I136" s="136"/>
      <c r="J136" s="135"/>
      <c r="K136" s="136"/>
      <c r="L136" s="135"/>
      <c r="M136" s="286"/>
    </row>
    <row r="137" spans="2:13">
      <c r="B137" s="283"/>
      <c r="C137" s="284"/>
      <c r="D137" s="285"/>
      <c r="E137" s="284"/>
      <c r="F137" s="284"/>
      <c r="G137" s="114" t="s">
        <v>264</v>
      </c>
      <c r="H137" s="122">
        <v>1.8172728</v>
      </c>
      <c r="I137" s="114"/>
      <c r="J137" s="122"/>
      <c r="K137" s="114"/>
      <c r="L137" s="122"/>
      <c r="M137" s="286"/>
    </row>
    <row r="138" spans="2:13">
      <c r="B138" s="262">
        <v>53</v>
      </c>
      <c r="C138" s="284" t="s">
        <v>402</v>
      </c>
      <c r="D138" s="285">
        <v>259.61</v>
      </c>
      <c r="E138" s="284" t="s">
        <v>220</v>
      </c>
      <c r="F138" s="284">
        <v>5</v>
      </c>
      <c r="G138" s="114" t="s">
        <v>273</v>
      </c>
      <c r="H138" s="113">
        <v>345.28183200000001</v>
      </c>
      <c r="I138" s="114" t="s">
        <v>334</v>
      </c>
      <c r="J138" s="113">
        <v>9.9950004000000003</v>
      </c>
      <c r="K138" s="114" t="s">
        <v>312</v>
      </c>
      <c r="L138" s="113">
        <v>9.0863640000000014</v>
      </c>
      <c r="M138" s="286" t="s">
        <v>415</v>
      </c>
    </row>
    <row r="139" spans="2:13">
      <c r="B139" s="263"/>
      <c r="C139" s="284"/>
      <c r="D139" s="285"/>
      <c r="E139" s="284"/>
      <c r="F139" s="284"/>
      <c r="G139" s="114" t="s">
        <v>272</v>
      </c>
      <c r="H139" s="113">
        <v>345.28183200000001</v>
      </c>
      <c r="I139" s="114" t="s">
        <v>333</v>
      </c>
      <c r="J139" s="113">
        <v>3364.5507840000005</v>
      </c>
      <c r="K139" s="119"/>
      <c r="L139" s="113"/>
      <c r="M139" s="286"/>
    </row>
    <row r="140" spans="2:13">
      <c r="B140" s="263"/>
      <c r="C140" s="284"/>
      <c r="D140" s="285"/>
      <c r="E140" s="284"/>
      <c r="F140" s="284"/>
      <c r="G140" s="114" t="s">
        <v>266</v>
      </c>
      <c r="H140" s="113">
        <v>34.528183200000001</v>
      </c>
      <c r="I140" s="119"/>
      <c r="J140" s="113"/>
      <c r="K140" s="119"/>
      <c r="L140" s="113"/>
      <c r="M140" s="286"/>
    </row>
    <row r="141" spans="2:13">
      <c r="B141" s="264"/>
      <c r="C141" s="284"/>
      <c r="D141" s="285"/>
      <c r="E141" s="284"/>
      <c r="F141" s="284"/>
      <c r="G141" s="114" t="s">
        <v>264</v>
      </c>
      <c r="H141" s="113">
        <v>34.528183200000001</v>
      </c>
      <c r="I141" s="119"/>
      <c r="J141" s="113"/>
      <c r="K141" s="119"/>
      <c r="L141" s="113"/>
      <c r="M141" s="286"/>
    </row>
    <row r="142" spans="2:13" ht="15.6">
      <c r="B142" s="141">
        <v>54</v>
      </c>
      <c r="C142" s="140" t="s">
        <v>400</v>
      </c>
      <c r="D142" s="140">
        <v>1</v>
      </c>
      <c r="E142" s="140" t="s">
        <v>399</v>
      </c>
      <c r="F142" s="140">
        <v>2</v>
      </c>
      <c r="G142" s="114"/>
      <c r="H142" s="113"/>
      <c r="I142" s="140" t="s">
        <v>295</v>
      </c>
      <c r="J142" s="113">
        <v>1</v>
      </c>
      <c r="K142" s="114"/>
      <c r="L142" s="113"/>
      <c r="M142" s="139" t="s">
        <v>414</v>
      </c>
    </row>
    <row r="143" spans="2:13">
      <c r="B143" s="276">
        <v>55</v>
      </c>
      <c r="C143" s="265" t="s">
        <v>384</v>
      </c>
      <c r="D143" s="265">
        <v>183.25</v>
      </c>
      <c r="E143" s="265" t="s">
        <v>220</v>
      </c>
      <c r="F143" s="265">
        <v>5</v>
      </c>
      <c r="G143" s="114" t="s">
        <v>273</v>
      </c>
      <c r="H143" s="135">
        <v>641.3904</v>
      </c>
      <c r="I143" s="136"/>
      <c r="J143" s="135"/>
      <c r="K143" s="114"/>
      <c r="L143" s="135"/>
      <c r="M143" s="275" t="s">
        <v>413</v>
      </c>
    </row>
    <row r="144" spans="2:13">
      <c r="B144" s="276"/>
      <c r="C144" s="265"/>
      <c r="D144" s="265"/>
      <c r="E144" s="265"/>
      <c r="F144" s="265"/>
      <c r="G144" s="114" t="s">
        <v>264</v>
      </c>
      <c r="H144" s="135">
        <v>32.069519999999997</v>
      </c>
      <c r="I144" s="134"/>
      <c r="J144" s="133"/>
      <c r="K144" s="134"/>
      <c r="L144" s="133"/>
      <c r="M144" s="275"/>
    </row>
    <row r="145" spans="2:13">
      <c r="B145" s="138">
        <v>56</v>
      </c>
      <c r="C145" s="259" t="s">
        <v>412</v>
      </c>
      <c r="D145" s="260"/>
      <c r="E145" s="260"/>
      <c r="F145" s="260"/>
      <c r="G145" s="260"/>
      <c r="H145" s="260"/>
      <c r="I145" s="260"/>
      <c r="J145" s="260"/>
      <c r="K145" s="260"/>
      <c r="L145" s="260"/>
      <c r="M145" s="261"/>
    </row>
    <row r="146" spans="2:13">
      <c r="B146" s="276">
        <v>57</v>
      </c>
      <c r="C146" s="265" t="s">
        <v>395</v>
      </c>
      <c r="D146" s="265">
        <v>290.25</v>
      </c>
      <c r="E146" s="265" t="s">
        <v>220</v>
      </c>
      <c r="F146" s="265">
        <v>2</v>
      </c>
      <c r="G146" s="114" t="s">
        <v>273</v>
      </c>
      <c r="H146" s="122">
        <v>510.78195000000005</v>
      </c>
      <c r="I146" s="119"/>
      <c r="J146" s="122"/>
      <c r="K146" s="114" t="s">
        <v>394</v>
      </c>
      <c r="L146" s="122">
        <v>421.38495</v>
      </c>
      <c r="M146" s="275" t="s">
        <v>411</v>
      </c>
    </row>
    <row r="147" spans="2:13">
      <c r="B147" s="276"/>
      <c r="C147" s="265"/>
      <c r="D147" s="265"/>
      <c r="E147" s="265"/>
      <c r="F147" s="265"/>
      <c r="G147" s="114" t="s">
        <v>264</v>
      </c>
      <c r="H147" s="122">
        <v>50.996925000000005</v>
      </c>
      <c r="I147" s="119"/>
      <c r="J147" s="122"/>
      <c r="K147" s="114" t="s">
        <v>308</v>
      </c>
      <c r="L147" s="135">
        <v>95.376149999999996</v>
      </c>
      <c r="M147" s="275"/>
    </row>
    <row r="148" spans="2:13">
      <c r="B148" s="283">
        <v>58</v>
      </c>
      <c r="C148" s="284" t="s">
        <v>392</v>
      </c>
      <c r="D148" s="285">
        <v>235.77</v>
      </c>
      <c r="E148" s="284" t="s">
        <v>220</v>
      </c>
      <c r="F148" s="284">
        <v>2</v>
      </c>
      <c r="G148" s="114" t="s">
        <v>273</v>
      </c>
      <c r="H148" s="122">
        <v>413.42269500000003</v>
      </c>
      <c r="I148" s="114"/>
      <c r="J148" s="122"/>
      <c r="K148" s="136"/>
      <c r="L148" s="135"/>
      <c r="M148" s="286" t="s">
        <v>410</v>
      </c>
    </row>
    <row r="149" spans="2:13">
      <c r="B149" s="283"/>
      <c r="C149" s="284"/>
      <c r="D149" s="285"/>
      <c r="E149" s="284"/>
      <c r="F149" s="284"/>
      <c r="G149" s="114" t="s">
        <v>264</v>
      </c>
      <c r="H149" s="122">
        <v>20.67113475</v>
      </c>
      <c r="I149" s="136"/>
      <c r="J149" s="135"/>
      <c r="K149" s="136"/>
      <c r="L149" s="135"/>
      <c r="M149" s="286"/>
    </row>
    <row r="150" spans="2:13">
      <c r="B150" s="283">
        <v>59</v>
      </c>
      <c r="C150" s="284" t="s">
        <v>390</v>
      </c>
      <c r="D150" s="285">
        <v>27.36</v>
      </c>
      <c r="E150" s="284" t="s">
        <v>220</v>
      </c>
      <c r="F150" s="284">
        <v>1</v>
      </c>
      <c r="G150" s="114" t="s">
        <v>273</v>
      </c>
      <c r="H150" s="122">
        <v>191.51999999999998</v>
      </c>
      <c r="I150" s="114" t="s">
        <v>333</v>
      </c>
      <c r="J150" s="137">
        <v>7305.12</v>
      </c>
      <c r="K150" s="119"/>
      <c r="L150" s="122"/>
      <c r="M150" s="286" t="s">
        <v>409</v>
      </c>
    </row>
    <row r="151" spans="2:13">
      <c r="B151" s="283"/>
      <c r="C151" s="284"/>
      <c r="D151" s="285"/>
      <c r="E151" s="284"/>
      <c r="F151" s="284"/>
      <c r="G151" s="114" t="s">
        <v>388</v>
      </c>
      <c r="H151" s="122">
        <v>47.879999999999995</v>
      </c>
      <c r="I151" s="114" t="s">
        <v>245</v>
      </c>
      <c r="J151" s="137">
        <v>23830.560000000001</v>
      </c>
      <c r="K151" s="119"/>
      <c r="L151" s="122"/>
      <c r="M151" s="286"/>
    </row>
    <row r="152" spans="2:13">
      <c r="B152" s="283"/>
      <c r="C152" s="284"/>
      <c r="D152" s="285"/>
      <c r="E152" s="284"/>
      <c r="F152" s="284"/>
      <c r="G152" s="114" t="s">
        <v>266</v>
      </c>
      <c r="H152" s="122">
        <v>4.7880000000000003</v>
      </c>
      <c r="I152" s="114" t="s">
        <v>332</v>
      </c>
      <c r="J152" s="137">
        <v>27606.239999999998</v>
      </c>
      <c r="K152" s="119"/>
      <c r="L152" s="135"/>
      <c r="M152" s="286"/>
    </row>
    <row r="153" spans="2:13">
      <c r="B153" s="283"/>
      <c r="C153" s="284"/>
      <c r="D153" s="285"/>
      <c r="E153" s="284"/>
      <c r="F153" s="284"/>
      <c r="G153" s="114" t="s">
        <v>264</v>
      </c>
      <c r="H153" s="122">
        <v>19.152000000000001</v>
      </c>
      <c r="I153" s="114" t="s">
        <v>175</v>
      </c>
      <c r="J153" s="137">
        <v>5526.72</v>
      </c>
      <c r="K153" s="119"/>
      <c r="L153" s="135"/>
      <c r="M153" s="286"/>
    </row>
    <row r="154" spans="2:13">
      <c r="B154" s="276">
        <v>60</v>
      </c>
      <c r="C154" s="265" t="s">
        <v>408</v>
      </c>
      <c r="D154" s="265">
        <v>54.56</v>
      </c>
      <c r="E154" s="265" t="s">
        <v>220</v>
      </c>
      <c r="F154" s="265">
        <v>2</v>
      </c>
      <c r="G154" s="114" t="s">
        <v>273</v>
      </c>
      <c r="H154" s="137">
        <v>229.16249999999997</v>
      </c>
      <c r="I154" s="114" t="s">
        <v>337</v>
      </c>
      <c r="J154" s="137">
        <v>65.474999999999994</v>
      </c>
      <c r="K154" s="114" t="s">
        <v>312</v>
      </c>
      <c r="L154" s="137">
        <v>1.9096875</v>
      </c>
      <c r="M154" s="275" t="s">
        <v>407</v>
      </c>
    </row>
    <row r="155" spans="2:13">
      <c r="B155" s="276"/>
      <c r="C155" s="265"/>
      <c r="D155" s="265"/>
      <c r="E155" s="265"/>
      <c r="F155" s="265"/>
      <c r="G155" s="114" t="s">
        <v>272</v>
      </c>
      <c r="H155" s="137">
        <v>114.58124999999998</v>
      </c>
      <c r="I155" s="114" t="s">
        <v>406</v>
      </c>
      <c r="J155" s="137">
        <v>26.189999999999998</v>
      </c>
      <c r="K155" s="134"/>
      <c r="L155" s="133"/>
      <c r="M155" s="275"/>
    </row>
    <row r="156" spans="2:13">
      <c r="B156" s="276"/>
      <c r="C156" s="265"/>
      <c r="D156" s="265"/>
      <c r="E156" s="265"/>
      <c r="F156" s="265"/>
      <c r="G156" s="114" t="s">
        <v>264</v>
      </c>
      <c r="H156" s="137">
        <v>19.096875000000004</v>
      </c>
      <c r="I156" s="114" t="s">
        <v>405</v>
      </c>
      <c r="J156" s="137">
        <v>47.7421875</v>
      </c>
      <c r="K156" s="136"/>
      <c r="L156" s="135"/>
      <c r="M156" s="275"/>
    </row>
    <row r="157" spans="2:13">
      <c r="B157" s="283">
        <v>61</v>
      </c>
      <c r="C157" s="284" t="s">
        <v>404</v>
      </c>
      <c r="D157" s="285">
        <v>14.55</v>
      </c>
      <c r="E157" s="284" t="s">
        <v>220</v>
      </c>
      <c r="F157" s="284">
        <v>1</v>
      </c>
      <c r="G157" s="114" t="s">
        <v>273</v>
      </c>
      <c r="H157" s="122">
        <v>20.37</v>
      </c>
      <c r="I157" s="114" t="s">
        <v>334</v>
      </c>
      <c r="J157" s="122">
        <v>7.2750000000000009E-2</v>
      </c>
      <c r="K157" s="136"/>
      <c r="L157" s="135"/>
      <c r="M157" s="286" t="s">
        <v>403</v>
      </c>
    </row>
    <row r="158" spans="2:13">
      <c r="B158" s="283"/>
      <c r="C158" s="284"/>
      <c r="D158" s="285"/>
      <c r="E158" s="284"/>
      <c r="F158" s="284"/>
      <c r="G158" s="114" t="s">
        <v>272</v>
      </c>
      <c r="H158" s="122">
        <v>20.37</v>
      </c>
      <c r="I158" s="114" t="s">
        <v>333</v>
      </c>
      <c r="J158" s="122">
        <v>34.046999999999997</v>
      </c>
      <c r="K158" s="136"/>
      <c r="L158" s="135"/>
      <c r="M158" s="286"/>
    </row>
    <row r="159" spans="2:13">
      <c r="B159" s="283"/>
      <c r="C159" s="284"/>
      <c r="D159" s="285"/>
      <c r="E159" s="284"/>
      <c r="F159" s="284"/>
      <c r="G159" s="114" t="s">
        <v>266</v>
      </c>
      <c r="H159" s="122">
        <v>2.0370000000000004</v>
      </c>
      <c r="I159" s="136"/>
      <c r="J159" s="135"/>
      <c r="K159" s="136"/>
      <c r="L159" s="135"/>
      <c r="M159" s="286"/>
    </row>
    <row r="160" spans="2:13">
      <c r="B160" s="283"/>
      <c r="C160" s="284"/>
      <c r="D160" s="285"/>
      <c r="E160" s="284"/>
      <c r="F160" s="284"/>
      <c r="G160" s="114" t="s">
        <v>264</v>
      </c>
      <c r="H160" s="122">
        <v>2.0370000000000004</v>
      </c>
      <c r="I160" s="114"/>
      <c r="J160" s="122"/>
      <c r="K160" s="114"/>
      <c r="L160" s="122"/>
      <c r="M160" s="286"/>
    </row>
    <row r="161" spans="2:13">
      <c r="B161" s="262">
        <v>62</v>
      </c>
      <c r="C161" s="284" t="s">
        <v>402</v>
      </c>
      <c r="D161" s="285">
        <v>3.64</v>
      </c>
      <c r="E161" s="284" t="s">
        <v>220</v>
      </c>
      <c r="F161" s="284">
        <v>1</v>
      </c>
      <c r="G161" s="114" t="s">
        <v>273</v>
      </c>
      <c r="H161" s="113">
        <v>4.8378750000000004</v>
      </c>
      <c r="I161" s="114" t="s">
        <v>334</v>
      </c>
      <c r="J161" s="113">
        <v>0.14004374999999999</v>
      </c>
      <c r="K161" s="114" t="s">
        <v>312</v>
      </c>
      <c r="L161" s="113">
        <v>0.12731250000000002</v>
      </c>
      <c r="M161" s="286" t="s">
        <v>401</v>
      </c>
    </row>
    <row r="162" spans="2:13">
      <c r="B162" s="263"/>
      <c r="C162" s="284"/>
      <c r="D162" s="285"/>
      <c r="E162" s="284"/>
      <c r="F162" s="284"/>
      <c r="G162" s="114" t="s">
        <v>272</v>
      </c>
      <c r="H162" s="113">
        <v>4.8378750000000004</v>
      </c>
      <c r="I162" s="114" t="s">
        <v>333</v>
      </c>
      <c r="J162" s="113">
        <v>47.142000000000003</v>
      </c>
      <c r="K162" s="119"/>
      <c r="L162" s="113"/>
      <c r="M162" s="286"/>
    </row>
    <row r="163" spans="2:13">
      <c r="B163" s="263"/>
      <c r="C163" s="284"/>
      <c r="D163" s="285"/>
      <c r="E163" s="284"/>
      <c r="F163" s="284"/>
      <c r="G163" s="114" t="s">
        <v>266</v>
      </c>
      <c r="H163" s="113">
        <v>0.48378750000000004</v>
      </c>
      <c r="I163" s="119"/>
      <c r="J163" s="113"/>
      <c r="K163" s="119"/>
      <c r="L163" s="113"/>
      <c r="M163" s="286"/>
    </row>
    <row r="164" spans="2:13">
      <c r="B164" s="264"/>
      <c r="C164" s="284"/>
      <c r="D164" s="285"/>
      <c r="E164" s="284"/>
      <c r="F164" s="284"/>
      <c r="G164" s="114" t="s">
        <v>264</v>
      </c>
      <c r="H164" s="113">
        <v>0.48378750000000004</v>
      </c>
      <c r="I164" s="119"/>
      <c r="J164" s="113"/>
      <c r="K164" s="119"/>
      <c r="L164" s="113"/>
      <c r="M164" s="286"/>
    </row>
    <row r="165" spans="2:13" ht="18" customHeight="1">
      <c r="B165" s="141">
        <v>63</v>
      </c>
      <c r="C165" s="140" t="s">
        <v>400</v>
      </c>
      <c r="D165" s="140">
        <v>1</v>
      </c>
      <c r="E165" s="140" t="s">
        <v>399</v>
      </c>
      <c r="F165" s="140">
        <v>2</v>
      </c>
      <c r="G165" s="114"/>
      <c r="H165" s="113"/>
      <c r="I165" s="140" t="s">
        <v>295</v>
      </c>
      <c r="J165" s="113">
        <v>1</v>
      </c>
      <c r="K165" s="114"/>
      <c r="L165" s="113"/>
      <c r="M165" s="139" t="s">
        <v>398</v>
      </c>
    </row>
    <row r="166" spans="2:13">
      <c r="B166" s="276">
        <v>64</v>
      </c>
      <c r="C166" s="265" t="s">
        <v>384</v>
      </c>
      <c r="D166" s="265">
        <v>54.48</v>
      </c>
      <c r="E166" s="265" t="s">
        <v>220</v>
      </c>
      <c r="F166" s="265">
        <v>1</v>
      </c>
      <c r="G166" s="114" t="s">
        <v>273</v>
      </c>
      <c r="H166" s="135">
        <v>190.67999999999998</v>
      </c>
      <c r="I166" s="136"/>
      <c r="J166" s="135"/>
      <c r="K166" s="114"/>
      <c r="L166" s="135"/>
      <c r="M166" s="275" t="s">
        <v>397</v>
      </c>
    </row>
    <row r="167" spans="2:13">
      <c r="B167" s="276"/>
      <c r="C167" s="265"/>
      <c r="D167" s="265"/>
      <c r="E167" s="265"/>
      <c r="F167" s="265"/>
      <c r="G167" s="114" t="s">
        <v>264</v>
      </c>
      <c r="H167" s="135">
        <v>9.5340000000000007</v>
      </c>
      <c r="I167" s="134"/>
      <c r="J167" s="133"/>
      <c r="K167" s="134"/>
      <c r="L167" s="133"/>
      <c r="M167" s="275"/>
    </row>
    <row r="168" spans="2:13">
      <c r="B168" s="138">
        <v>65</v>
      </c>
      <c r="C168" s="259" t="s">
        <v>396</v>
      </c>
      <c r="D168" s="260"/>
      <c r="E168" s="260"/>
      <c r="F168" s="260"/>
      <c r="G168" s="260"/>
      <c r="H168" s="260"/>
      <c r="I168" s="260"/>
      <c r="J168" s="260"/>
      <c r="K168" s="260"/>
      <c r="L168" s="260"/>
      <c r="M168" s="261"/>
    </row>
    <row r="169" spans="2:13">
      <c r="B169" s="276">
        <v>66</v>
      </c>
      <c r="C169" s="265" t="s">
        <v>395</v>
      </c>
      <c r="D169" s="288">
        <v>54.7</v>
      </c>
      <c r="E169" s="265" t="s">
        <v>220</v>
      </c>
      <c r="F169" s="265">
        <v>2</v>
      </c>
      <c r="G169" s="114" t="s">
        <v>273</v>
      </c>
      <c r="H169" s="122">
        <v>96.262467839999999</v>
      </c>
      <c r="I169" s="119"/>
      <c r="J169" s="122"/>
      <c r="K169" s="114" t="s">
        <v>394</v>
      </c>
      <c r="L169" s="122">
        <v>79.414621440000005</v>
      </c>
      <c r="M169" s="275" t="s">
        <v>393</v>
      </c>
    </row>
    <row r="170" spans="2:13">
      <c r="B170" s="276"/>
      <c r="C170" s="265"/>
      <c r="D170" s="288"/>
      <c r="E170" s="265"/>
      <c r="F170" s="265"/>
      <c r="G170" s="114" t="s">
        <v>264</v>
      </c>
      <c r="H170" s="122">
        <v>9.6109305599999999</v>
      </c>
      <c r="I170" s="119"/>
      <c r="J170" s="122"/>
      <c r="K170" s="114" t="s">
        <v>308</v>
      </c>
      <c r="L170" s="135">
        <v>17.97468288</v>
      </c>
      <c r="M170" s="275"/>
    </row>
    <row r="171" spans="2:13">
      <c r="B171" s="283">
        <v>67</v>
      </c>
      <c r="C171" s="284" t="s">
        <v>392</v>
      </c>
      <c r="D171" s="285">
        <v>48.2</v>
      </c>
      <c r="E171" s="284" t="s">
        <v>220</v>
      </c>
      <c r="F171" s="284">
        <v>2</v>
      </c>
      <c r="G171" s="114" t="s">
        <v>273</v>
      </c>
      <c r="H171" s="122">
        <v>84.527116800000002</v>
      </c>
      <c r="I171" s="114"/>
      <c r="J171" s="122"/>
      <c r="K171" s="136"/>
      <c r="L171" s="135"/>
      <c r="M171" s="286" t="s">
        <v>391</v>
      </c>
    </row>
    <row r="172" spans="2:13">
      <c r="B172" s="283"/>
      <c r="C172" s="284"/>
      <c r="D172" s="285"/>
      <c r="E172" s="284"/>
      <c r="F172" s="284"/>
      <c r="G172" s="114" t="s">
        <v>264</v>
      </c>
      <c r="H172" s="122">
        <v>4.2263558399999992</v>
      </c>
      <c r="I172" s="136"/>
      <c r="J172" s="135"/>
      <c r="K172" s="136"/>
      <c r="L172" s="135"/>
      <c r="M172" s="286"/>
    </row>
    <row r="173" spans="2:13">
      <c r="B173" s="283">
        <v>68</v>
      </c>
      <c r="C173" s="284" t="s">
        <v>390</v>
      </c>
      <c r="D173" s="285">
        <v>4.1399999999999997</v>
      </c>
      <c r="E173" s="284" t="s">
        <v>220</v>
      </c>
      <c r="F173" s="284">
        <v>2</v>
      </c>
      <c r="G173" s="114" t="s">
        <v>273</v>
      </c>
      <c r="H173" s="122">
        <v>29.008000000000003</v>
      </c>
      <c r="I173" s="114" t="s">
        <v>333</v>
      </c>
      <c r="J173" s="137">
        <v>1106.4480000000001</v>
      </c>
      <c r="K173" s="119"/>
      <c r="L173" s="122"/>
      <c r="M173" s="286" t="s">
        <v>389</v>
      </c>
    </row>
    <row r="174" spans="2:13">
      <c r="B174" s="283"/>
      <c r="C174" s="284"/>
      <c r="D174" s="285"/>
      <c r="E174" s="284"/>
      <c r="F174" s="284"/>
      <c r="G174" s="114" t="s">
        <v>388</v>
      </c>
      <c r="H174" s="122">
        <v>7.2520000000000007</v>
      </c>
      <c r="I174" s="114" t="s">
        <v>245</v>
      </c>
      <c r="J174" s="137">
        <v>3609.424</v>
      </c>
      <c r="K174" s="119"/>
      <c r="L174" s="122"/>
      <c r="M174" s="286"/>
    </row>
    <row r="175" spans="2:13">
      <c r="B175" s="283"/>
      <c r="C175" s="284"/>
      <c r="D175" s="285"/>
      <c r="E175" s="284"/>
      <c r="F175" s="284"/>
      <c r="G175" s="114" t="s">
        <v>266</v>
      </c>
      <c r="H175" s="122">
        <v>0.72520000000000007</v>
      </c>
      <c r="I175" s="114" t="s">
        <v>332</v>
      </c>
      <c r="J175" s="137">
        <v>4181.2960000000003</v>
      </c>
      <c r="K175" s="119"/>
      <c r="L175" s="135"/>
      <c r="M175" s="286"/>
    </row>
    <row r="176" spans="2:13">
      <c r="B176" s="283"/>
      <c r="C176" s="284"/>
      <c r="D176" s="285"/>
      <c r="E176" s="284"/>
      <c r="F176" s="284"/>
      <c r="G176" s="114" t="s">
        <v>264</v>
      </c>
      <c r="H176" s="122">
        <v>2.9008000000000003</v>
      </c>
      <c r="I176" s="114" t="s">
        <v>175</v>
      </c>
      <c r="J176" s="137">
        <v>837.08800000000008</v>
      </c>
      <c r="K176" s="119"/>
      <c r="L176" s="135"/>
      <c r="M176" s="286"/>
    </row>
    <row r="177" spans="2:13">
      <c r="B177" s="276">
        <v>69</v>
      </c>
      <c r="C177" s="265" t="s">
        <v>387</v>
      </c>
      <c r="D177" s="265">
        <v>184</v>
      </c>
      <c r="E177" s="265" t="s">
        <v>220</v>
      </c>
      <c r="F177" s="265">
        <v>9</v>
      </c>
      <c r="G177" s="114" t="s">
        <v>273</v>
      </c>
      <c r="H177" s="113">
        <v>190.75280000000001</v>
      </c>
      <c r="I177" s="114" t="s">
        <v>386</v>
      </c>
      <c r="J177" s="113">
        <v>153.3272</v>
      </c>
      <c r="K177" s="119"/>
      <c r="L177" s="113"/>
      <c r="M177" s="275" t="s">
        <v>385</v>
      </c>
    </row>
    <row r="178" spans="2:13">
      <c r="B178" s="276"/>
      <c r="C178" s="265"/>
      <c r="D178" s="265"/>
      <c r="E178" s="265"/>
      <c r="F178" s="265"/>
      <c r="G178" s="114" t="s">
        <v>272</v>
      </c>
      <c r="H178" s="113">
        <v>190.75280000000001</v>
      </c>
      <c r="I178" s="119"/>
      <c r="J178" s="113"/>
      <c r="K178" s="119"/>
      <c r="L178" s="113"/>
      <c r="M178" s="275"/>
    </row>
    <row r="179" spans="2:13">
      <c r="B179" s="276"/>
      <c r="C179" s="265"/>
      <c r="D179" s="265"/>
      <c r="E179" s="265"/>
      <c r="F179" s="265"/>
      <c r="G179" s="114" t="s">
        <v>264</v>
      </c>
      <c r="H179" s="113">
        <v>9.5312000000000019</v>
      </c>
      <c r="I179" s="119"/>
      <c r="J179" s="113"/>
      <c r="K179" s="119"/>
      <c r="L179" s="113"/>
      <c r="M179" s="275"/>
    </row>
    <row r="180" spans="2:13">
      <c r="B180" s="276">
        <v>70</v>
      </c>
      <c r="C180" s="265" t="s">
        <v>384</v>
      </c>
      <c r="D180" s="265">
        <v>6.5</v>
      </c>
      <c r="E180" s="265" t="s">
        <v>220</v>
      </c>
      <c r="F180" s="265">
        <v>1</v>
      </c>
      <c r="G180" s="114" t="s">
        <v>273</v>
      </c>
      <c r="H180" s="135">
        <v>22.736000000000001</v>
      </c>
      <c r="I180" s="136"/>
      <c r="J180" s="135"/>
      <c r="K180" s="114"/>
      <c r="L180" s="135"/>
      <c r="M180" s="275" t="s">
        <v>383</v>
      </c>
    </row>
    <row r="181" spans="2:13">
      <c r="B181" s="276"/>
      <c r="C181" s="265"/>
      <c r="D181" s="265"/>
      <c r="E181" s="265"/>
      <c r="F181" s="265"/>
      <c r="G181" s="114" t="s">
        <v>264</v>
      </c>
      <c r="H181" s="135">
        <v>1.1368</v>
      </c>
      <c r="I181" s="134"/>
      <c r="J181" s="133"/>
      <c r="K181" s="134"/>
      <c r="L181" s="133"/>
      <c r="M181" s="275"/>
    </row>
    <row r="182" spans="2:13">
      <c r="B182" s="132">
        <v>71</v>
      </c>
      <c r="C182" s="259" t="s">
        <v>382</v>
      </c>
      <c r="D182" s="260"/>
      <c r="E182" s="260"/>
      <c r="F182" s="260"/>
      <c r="G182" s="297"/>
      <c r="H182" s="297"/>
      <c r="I182" s="297"/>
      <c r="J182" s="297"/>
      <c r="K182" s="297"/>
      <c r="L182" s="297"/>
      <c r="M182" s="298"/>
    </row>
    <row r="183" spans="2:13">
      <c r="B183" s="123">
        <v>72</v>
      </c>
      <c r="C183" s="131" t="s">
        <v>381</v>
      </c>
      <c r="D183" s="130">
        <v>1</v>
      </c>
      <c r="E183" s="129" t="s">
        <v>362</v>
      </c>
      <c r="F183" s="128">
        <v>17</v>
      </c>
      <c r="G183" s="119"/>
      <c r="H183" s="113"/>
      <c r="I183" s="115" t="s">
        <v>294</v>
      </c>
      <c r="J183" s="113">
        <v>1</v>
      </c>
      <c r="K183" s="119"/>
      <c r="L183" s="113"/>
      <c r="M183" s="112" t="s">
        <v>380</v>
      </c>
    </row>
    <row r="184" spans="2:13">
      <c r="B184" s="123">
        <v>73</v>
      </c>
      <c r="C184" s="131" t="s">
        <v>379</v>
      </c>
      <c r="D184" s="130">
        <v>1</v>
      </c>
      <c r="E184" s="129" t="s">
        <v>362</v>
      </c>
      <c r="F184" s="128">
        <v>14</v>
      </c>
      <c r="G184" s="119"/>
      <c r="H184" s="113"/>
      <c r="I184" s="115" t="s">
        <v>293</v>
      </c>
      <c r="J184" s="113">
        <v>1</v>
      </c>
      <c r="K184" s="119"/>
      <c r="L184" s="113"/>
      <c r="M184" s="112" t="s">
        <v>378</v>
      </c>
    </row>
    <row r="185" spans="2:13">
      <c r="B185" s="123">
        <v>74</v>
      </c>
      <c r="C185" s="131" t="s">
        <v>377</v>
      </c>
      <c r="D185" s="130">
        <v>1</v>
      </c>
      <c r="E185" s="129" t="s">
        <v>362</v>
      </c>
      <c r="F185" s="128">
        <v>5</v>
      </c>
      <c r="G185" s="119"/>
      <c r="H185" s="113"/>
      <c r="I185" s="115" t="s">
        <v>292</v>
      </c>
      <c r="J185" s="113">
        <v>1</v>
      </c>
      <c r="K185" s="119"/>
      <c r="L185" s="113"/>
      <c r="M185" s="112" t="s">
        <v>376</v>
      </c>
    </row>
    <row r="186" spans="2:13">
      <c r="B186" s="123">
        <v>75</v>
      </c>
      <c r="C186" s="131" t="s">
        <v>375</v>
      </c>
      <c r="D186" s="130">
        <v>1</v>
      </c>
      <c r="E186" s="129" t="s">
        <v>362</v>
      </c>
      <c r="F186" s="128">
        <v>11</v>
      </c>
      <c r="G186" s="119"/>
      <c r="H186" s="113"/>
      <c r="I186" s="115" t="s">
        <v>291</v>
      </c>
      <c r="J186" s="113">
        <v>1</v>
      </c>
      <c r="K186" s="119"/>
      <c r="L186" s="113"/>
      <c r="M186" s="112" t="s">
        <v>374</v>
      </c>
    </row>
    <row r="187" spans="2:13">
      <c r="B187" s="118">
        <v>76</v>
      </c>
      <c r="C187" s="127" t="s">
        <v>373</v>
      </c>
      <c r="D187" s="117">
        <v>1</v>
      </c>
      <c r="E187" s="116" t="s">
        <v>362</v>
      </c>
      <c r="F187" s="126">
        <v>5</v>
      </c>
      <c r="G187" s="125"/>
      <c r="H187" s="124"/>
      <c r="I187" s="115" t="s">
        <v>290</v>
      </c>
      <c r="J187" s="124">
        <v>1</v>
      </c>
      <c r="K187" s="125"/>
      <c r="L187" s="124"/>
      <c r="M187" s="112" t="s">
        <v>372</v>
      </c>
    </row>
    <row r="188" spans="2:13">
      <c r="B188" s="118">
        <v>77</v>
      </c>
      <c r="C188" s="115" t="s">
        <v>371</v>
      </c>
      <c r="D188" s="117">
        <v>1</v>
      </c>
      <c r="E188" s="116" t="s">
        <v>362</v>
      </c>
      <c r="F188" s="115">
        <v>9</v>
      </c>
      <c r="G188" s="114"/>
      <c r="H188" s="113"/>
      <c r="I188" s="115" t="s">
        <v>289</v>
      </c>
      <c r="J188" s="113">
        <v>1</v>
      </c>
      <c r="K188" s="119"/>
      <c r="L188" s="113"/>
      <c r="M188" s="112" t="s">
        <v>370</v>
      </c>
    </row>
    <row r="189" spans="2:13">
      <c r="B189" s="123">
        <v>78</v>
      </c>
      <c r="C189" s="120" t="s">
        <v>369</v>
      </c>
      <c r="D189" s="122">
        <v>1</v>
      </c>
      <c r="E189" s="116" t="s">
        <v>362</v>
      </c>
      <c r="F189" s="121">
        <v>6</v>
      </c>
      <c r="G189" s="119"/>
      <c r="H189" s="113"/>
      <c r="I189" s="120" t="s">
        <v>288</v>
      </c>
      <c r="J189" s="113">
        <v>1</v>
      </c>
      <c r="K189" s="119"/>
      <c r="L189" s="113"/>
      <c r="M189" s="112" t="s">
        <v>368</v>
      </c>
    </row>
    <row r="190" spans="2:13">
      <c r="B190" s="118">
        <v>79</v>
      </c>
      <c r="C190" s="115" t="s">
        <v>367</v>
      </c>
      <c r="D190" s="117">
        <v>1</v>
      </c>
      <c r="E190" s="116" t="s">
        <v>362</v>
      </c>
      <c r="F190" s="115">
        <v>9</v>
      </c>
      <c r="G190" s="114"/>
      <c r="H190" s="113"/>
      <c r="I190" s="115" t="s">
        <v>287</v>
      </c>
      <c r="J190" s="113">
        <v>1</v>
      </c>
      <c r="K190" s="119"/>
      <c r="L190" s="113"/>
      <c r="M190" s="112" t="s">
        <v>366</v>
      </c>
    </row>
    <row r="191" spans="2:13">
      <c r="B191" s="118">
        <v>40</v>
      </c>
      <c r="C191" s="115" t="s">
        <v>365</v>
      </c>
      <c r="D191" s="117">
        <v>1</v>
      </c>
      <c r="E191" s="116" t="s">
        <v>362</v>
      </c>
      <c r="F191" s="115">
        <v>2</v>
      </c>
      <c r="G191" s="114"/>
      <c r="H191" s="113"/>
      <c r="I191" s="115" t="s">
        <v>286</v>
      </c>
      <c r="J191" s="113">
        <v>1</v>
      </c>
      <c r="K191" s="114"/>
      <c r="L191" s="113"/>
      <c r="M191" s="112" t="s">
        <v>364</v>
      </c>
    </row>
    <row r="192" spans="2:13" ht="14.4" thickBot="1">
      <c r="B192" s="111">
        <v>41</v>
      </c>
      <c r="C192" s="108" t="s">
        <v>363</v>
      </c>
      <c r="D192" s="110">
        <v>1</v>
      </c>
      <c r="E192" s="108" t="s">
        <v>362</v>
      </c>
      <c r="F192" s="109">
        <v>2</v>
      </c>
      <c r="G192" s="107"/>
      <c r="H192" s="106"/>
      <c r="I192" s="108" t="s">
        <v>285</v>
      </c>
      <c r="J192" s="106">
        <v>1</v>
      </c>
      <c r="K192" s="107"/>
      <c r="L192" s="106"/>
      <c r="M192" s="105" t="s">
        <v>361</v>
      </c>
    </row>
  </sheetData>
  <mergeCells count="340">
    <mergeCell ref="C182:M182"/>
    <mergeCell ref="B180:B181"/>
    <mergeCell ref="C180:C181"/>
    <mergeCell ref="D180:D181"/>
    <mergeCell ref="E180:E181"/>
    <mergeCell ref="F180:F181"/>
    <mergeCell ref="M180:M181"/>
    <mergeCell ref="B177:B179"/>
    <mergeCell ref="C177:C179"/>
    <mergeCell ref="D177:D179"/>
    <mergeCell ref="E177:E179"/>
    <mergeCell ref="F177:F179"/>
    <mergeCell ref="M177:M179"/>
    <mergeCell ref="B173:B176"/>
    <mergeCell ref="C173:C176"/>
    <mergeCell ref="D173:D176"/>
    <mergeCell ref="E173:E176"/>
    <mergeCell ref="F173:F176"/>
    <mergeCell ref="M173:M176"/>
    <mergeCell ref="B171:B172"/>
    <mergeCell ref="C171:C172"/>
    <mergeCell ref="D171:D172"/>
    <mergeCell ref="E171:E172"/>
    <mergeCell ref="F171:F172"/>
    <mergeCell ref="M171:M172"/>
    <mergeCell ref="C168:M168"/>
    <mergeCell ref="B169:B170"/>
    <mergeCell ref="C169:C170"/>
    <mergeCell ref="D169:D170"/>
    <mergeCell ref="E169:E170"/>
    <mergeCell ref="F169:F170"/>
    <mergeCell ref="M169:M170"/>
    <mergeCell ref="B166:B167"/>
    <mergeCell ref="C166:C167"/>
    <mergeCell ref="D166:D167"/>
    <mergeCell ref="E166:E167"/>
    <mergeCell ref="F166:F167"/>
    <mergeCell ref="M166:M167"/>
    <mergeCell ref="B161:B164"/>
    <mergeCell ref="C161:C164"/>
    <mergeCell ref="D161:D164"/>
    <mergeCell ref="E161:E164"/>
    <mergeCell ref="F161:F164"/>
    <mergeCell ref="M161:M164"/>
    <mergeCell ref="B157:B160"/>
    <mergeCell ref="C157:C160"/>
    <mergeCell ref="D157:D160"/>
    <mergeCell ref="E157:E160"/>
    <mergeCell ref="F157:F160"/>
    <mergeCell ref="M157:M160"/>
    <mergeCell ref="B154:B156"/>
    <mergeCell ref="C154:C156"/>
    <mergeCell ref="D154:D156"/>
    <mergeCell ref="E154:E156"/>
    <mergeCell ref="F154:F156"/>
    <mergeCell ref="M154:M156"/>
    <mergeCell ref="B150:B153"/>
    <mergeCell ref="C150:C153"/>
    <mergeCell ref="D150:D153"/>
    <mergeCell ref="E150:E153"/>
    <mergeCell ref="F150:F153"/>
    <mergeCell ref="M150:M153"/>
    <mergeCell ref="B148:B149"/>
    <mergeCell ref="C148:C149"/>
    <mergeCell ref="D148:D149"/>
    <mergeCell ref="E148:E149"/>
    <mergeCell ref="F148:F149"/>
    <mergeCell ref="M148:M149"/>
    <mergeCell ref="C145:M145"/>
    <mergeCell ref="B146:B147"/>
    <mergeCell ref="C146:C147"/>
    <mergeCell ref="D146:D147"/>
    <mergeCell ref="E146:E147"/>
    <mergeCell ref="F146:F147"/>
    <mergeCell ref="M146:M147"/>
    <mergeCell ref="B143:B144"/>
    <mergeCell ref="C143:C144"/>
    <mergeCell ref="D143:D144"/>
    <mergeCell ref="E143:E144"/>
    <mergeCell ref="F143:F144"/>
    <mergeCell ref="M143:M144"/>
    <mergeCell ref="B138:B141"/>
    <mergeCell ref="C138:C141"/>
    <mergeCell ref="D138:D141"/>
    <mergeCell ref="E138:E141"/>
    <mergeCell ref="F138:F141"/>
    <mergeCell ref="M138:M141"/>
    <mergeCell ref="B134:B137"/>
    <mergeCell ref="C134:C137"/>
    <mergeCell ref="D134:D137"/>
    <mergeCell ref="E134:E137"/>
    <mergeCell ref="F134:F137"/>
    <mergeCell ref="M134:M137"/>
    <mergeCell ref="B131:B133"/>
    <mergeCell ref="C131:C133"/>
    <mergeCell ref="D131:D133"/>
    <mergeCell ref="E131:E133"/>
    <mergeCell ref="F131:F133"/>
    <mergeCell ref="M131:M133"/>
    <mergeCell ref="B127:B130"/>
    <mergeCell ref="C127:C130"/>
    <mergeCell ref="D127:D130"/>
    <mergeCell ref="E127:E130"/>
    <mergeCell ref="F127:F130"/>
    <mergeCell ref="M127:M130"/>
    <mergeCell ref="B125:B126"/>
    <mergeCell ref="C125:C126"/>
    <mergeCell ref="D125:D126"/>
    <mergeCell ref="E125:E126"/>
    <mergeCell ref="F125:F126"/>
    <mergeCell ref="M125:M126"/>
    <mergeCell ref="C122:M122"/>
    <mergeCell ref="B123:B124"/>
    <mergeCell ref="C123:C124"/>
    <mergeCell ref="D123:D124"/>
    <mergeCell ref="E123:E124"/>
    <mergeCell ref="F123:F124"/>
    <mergeCell ref="M123:M124"/>
    <mergeCell ref="B120:B121"/>
    <mergeCell ref="C120:C121"/>
    <mergeCell ref="D120:D121"/>
    <mergeCell ref="E120:E121"/>
    <mergeCell ref="F120:F121"/>
    <mergeCell ref="M120:M121"/>
    <mergeCell ref="B116:B119"/>
    <mergeCell ref="C116:C119"/>
    <mergeCell ref="D116:D119"/>
    <mergeCell ref="E116:E119"/>
    <mergeCell ref="F116:F119"/>
    <mergeCell ref="M116:M119"/>
    <mergeCell ref="B112:B115"/>
    <mergeCell ref="C112:C115"/>
    <mergeCell ref="D112:D115"/>
    <mergeCell ref="E112:E115"/>
    <mergeCell ref="F112:F115"/>
    <mergeCell ref="M112:M115"/>
    <mergeCell ref="B109:B111"/>
    <mergeCell ref="C109:C111"/>
    <mergeCell ref="D109:D111"/>
    <mergeCell ref="E109:E111"/>
    <mergeCell ref="F109:F111"/>
    <mergeCell ref="M109:M111"/>
    <mergeCell ref="B105:B108"/>
    <mergeCell ref="C105:C108"/>
    <mergeCell ref="D105:D108"/>
    <mergeCell ref="E105:E108"/>
    <mergeCell ref="F105:F108"/>
    <mergeCell ref="M105:M108"/>
    <mergeCell ref="B103:B104"/>
    <mergeCell ref="C103:C104"/>
    <mergeCell ref="D103:D104"/>
    <mergeCell ref="E103:E104"/>
    <mergeCell ref="F103:F104"/>
    <mergeCell ref="M103:M104"/>
    <mergeCell ref="C100:M100"/>
    <mergeCell ref="B101:B102"/>
    <mergeCell ref="C101:C102"/>
    <mergeCell ref="D101:D102"/>
    <mergeCell ref="E101:E102"/>
    <mergeCell ref="F101:F102"/>
    <mergeCell ref="M101:M102"/>
    <mergeCell ref="B98:B99"/>
    <mergeCell ref="C98:C99"/>
    <mergeCell ref="D98:D99"/>
    <mergeCell ref="E98:E99"/>
    <mergeCell ref="F98:F99"/>
    <mergeCell ref="M98:M99"/>
    <mergeCell ref="B94:B97"/>
    <mergeCell ref="C94:C97"/>
    <mergeCell ref="D94:D97"/>
    <mergeCell ref="E94:E97"/>
    <mergeCell ref="F94:F97"/>
    <mergeCell ref="M94:M97"/>
    <mergeCell ref="B90:B93"/>
    <mergeCell ref="C90:C93"/>
    <mergeCell ref="D90:D93"/>
    <mergeCell ref="E90:E93"/>
    <mergeCell ref="F90:F93"/>
    <mergeCell ref="M90:M93"/>
    <mergeCell ref="B86:B89"/>
    <mergeCell ref="C86:C89"/>
    <mergeCell ref="D86:D89"/>
    <mergeCell ref="E86:E89"/>
    <mergeCell ref="F86:F89"/>
    <mergeCell ref="M86:M89"/>
    <mergeCell ref="B84:B85"/>
    <mergeCell ref="C84:C85"/>
    <mergeCell ref="D84:D85"/>
    <mergeCell ref="E84:E85"/>
    <mergeCell ref="F84:F85"/>
    <mergeCell ref="M84:M85"/>
    <mergeCell ref="C80:M80"/>
    <mergeCell ref="C81:M81"/>
    <mergeCell ref="B82:B83"/>
    <mergeCell ref="C82:C83"/>
    <mergeCell ref="D82:D83"/>
    <mergeCell ref="E82:E83"/>
    <mergeCell ref="F82:F83"/>
    <mergeCell ref="M82:M83"/>
    <mergeCell ref="B78:B79"/>
    <mergeCell ref="C78:C79"/>
    <mergeCell ref="D78:D79"/>
    <mergeCell ref="E78:E79"/>
    <mergeCell ref="F78:F79"/>
    <mergeCell ref="M78:M79"/>
    <mergeCell ref="B74:B77"/>
    <mergeCell ref="C74:C77"/>
    <mergeCell ref="D74:D77"/>
    <mergeCell ref="E74:E77"/>
    <mergeCell ref="F74:F77"/>
    <mergeCell ref="M74:M77"/>
    <mergeCell ref="B70:B73"/>
    <mergeCell ref="C70:C73"/>
    <mergeCell ref="D70:D73"/>
    <mergeCell ref="E70:E73"/>
    <mergeCell ref="F70:F73"/>
    <mergeCell ref="M70:M73"/>
    <mergeCell ref="B67:B69"/>
    <mergeCell ref="C67:C69"/>
    <mergeCell ref="D67:D69"/>
    <mergeCell ref="E67:E69"/>
    <mergeCell ref="F67:F69"/>
    <mergeCell ref="M67:M69"/>
    <mergeCell ref="B63:B66"/>
    <mergeCell ref="C63:C66"/>
    <mergeCell ref="D63:D66"/>
    <mergeCell ref="E63:E66"/>
    <mergeCell ref="F63:F66"/>
    <mergeCell ref="M63:M66"/>
    <mergeCell ref="B61:B62"/>
    <mergeCell ref="C61:C62"/>
    <mergeCell ref="D61:D62"/>
    <mergeCell ref="E61:E62"/>
    <mergeCell ref="F61:F62"/>
    <mergeCell ref="M61:M62"/>
    <mergeCell ref="C58:M58"/>
    <mergeCell ref="B59:B60"/>
    <mergeCell ref="C59:C60"/>
    <mergeCell ref="D59:D60"/>
    <mergeCell ref="E59:E60"/>
    <mergeCell ref="F59:F60"/>
    <mergeCell ref="M59:M60"/>
    <mergeCell ref="B56:B57"/>
    <mergeCell ref="C56:C57"/>
    <mergeCell ref="D56:D57"/>
    <mergeCell ref="E56:E57"/>
    <mergeCell ref="F56:F57"/>
    <mergeCell ref="M56:M57"/>
    <mergeCell ref="B52:B55"/>
    <mergeCell ref="C52:C55"/>
    <mergeCell ref="D52:D55"/>
    <mergeCell ref="E52:E55"/>
    <mergeCell ref="F52:F55"/>
    <mergeCell ref="M52:M55"/>
    <mergeCell ref="B49:B51"/>
    <mergeCell ref="C49:C51"/>
    <mergeCell ref="D49:D51"/>
    <mergeCell ref="E49:E51"/>
    <mergeCell ref="F49:F51"/>
    <mergeCell ref="M49:M51"/>
    <mergeCell ref="B45:B48"/>
    <mergeCell ref="C45:C48"/>
    <mergeCell ref="D45:D48"/>
    <mergeCell ref="E45:E48"/>
    <mergeCell ref="F45:F48"/>
    <mergeCell ref="M45:M48"/>
    <mergeCell ref="B41:B44"/>
    <mergeCell ref="C41:C44"/>
    <mergeCell ref="D41:D44"/>
    <mergeCell ref="E41:E44"/>
    <mergeCell ref="F41:F44"/>
    <mergeCell ref="M41:M44"/>
    <mergeCell ref="B37:B40"/>
    <mergeCell ref="C37:C40"/>
    <mergeCell ref="D37:D40"/>
    <mergeCell ref="E37:E40"/>
    <mergeCell ref="F37:F40"/>
    <mergeCell ref="M37:M40"/>
    <mergeCell ref="B33:B36"/>
    <mergeCell ref="C33:C36"/>
    <mergeCell ref="D33:D36"/>
    <mergeCell ref="E33:E36"/>
    <mergeCell ref="F33:F36"/>
    <mergeCell ref="M33:M36"/>
    <mergeCell ref="B31:B32"/>
    <mergeCell ref="C31:C32"/>
    <mergeCell ref="D31:D32"/>
    <mergeCell ref="E31:E32"/>
    <mergeCell ref="F31:F32"/>
    <mergeCell ref="M31:M32"/>
    <mergeCell ref="C28:M28"/>
    <mergeCell ref="B29:B30"/>
    <mergeCell ref="C29:C30"/>
    <mergeCell ref="D29:D30"/>
    <mergeCell ref="E29:E30"/>
    <mergeCell ref="F29:F30"/>
    <mergeCell ref="M29:M30"/>
    <mergeCell ref="B25:B27"/>
    <mergeCell ref="C25:C27"/>
    <mergeCell ref="E25:E27"/>
    <mergeCell ref="F25:F27"/>
    <mergeCell ref="M25:M27"/>
    <mergeCell ref="B23:B24"/>
    <mergeCell ref="C23:C24"/>
    <mergeCell ref="D23:D24"/>
    <mergeCell ref="E23:E24"/>
    <mergeCell ref="F23:F24"/>
    <mergeCell ref="M23:M24"/>
    <mergeCell ref="D25:D27"/>
    <mergeCell ref="C6:M6"/>
    <mergeCell ref="C7:M7"/>
    <mergeCell ref="B10:B13"/>
    <mergeCell ref="C10:C13"/>
    <mergeCell ref="D10:D13"/>
    <mergeCell ref="E10:E13"/>
    <mergeCell ref="F10:F13"/>
    <mergeCell ref="M10:M13"/>
    <mergeCell ref="B21:B22"/>
    <mergeCell ref="C21:C22"/>
    <mergeCell ref="D21:D22"/>
    <mergeCell ref="E21:E22"/>
    <mergeCell ref="F21:F22"/>
    <mergeCell ref="M21:M22"/>
    <mergeCell ref="B17:B20"/>
    <mergeCell ref="C17:C20"/>
    <mergeCell ref="D17:D20"/>
    <mergeCell ref="E17:E20"/>
    <mergeCell ref="F17:F20"/>
    <mergeCell ref="M17:M20"/>
    <mergeCell ref="B2:M2"/>
    <mergeCell ref="B3:B5"/>
    <mergeCell ref="C3:C5"/>
    <mergeCell ref="D3:D5"/>
    <mergeCell ref="E3:E5"/>
    <mergeCell ref="F3:F5"/>
    <mergeCell ref="G3:L3"/>
    <mergeCell ref="M3:M5"/>
    <mergeCell ref="G4:H4"/>
    <mergeCell ref="I4:J4"/>
    <mergeCell ref="K4:L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3F83-75C4-4F08-AD62-40EB652A20C8}">
  <sheetPr>
    <tabColor rgb="FFFFFF00"/>
  </sheetPr>
  <dimension ref="B1:G991"/>
  <sheetViews>
    <sheetView topLeftCell="A46" zoomScale="102" workbookViewId="0">
      <selection activeCell="K56" sqref="K56"/>
    </sheetView>
  </sheetViews>
  <sheetFormatPr defaultColWidth="14.3984375" defaultRowHeight="15" customHeight="1"/>
  <cols>
    <col min="1" max="1" width="6.09765625" customWidth="1"/>
    <col min="2" max="2" width="8.69921875" customWidth="1"/>
    <col min="3" max="3" width="48.19921875" customWidth="1"/>
    <col min="4" max="4" width="11.69921875" customWidth="1"/>
    <col min="5" max="5" width="19.296875" customWidth="1"/>
    <col min="6" max="6" width="15.8984375" customWidth="1"/>
    <col min="7" max="26" width="8.69921875" customWidth="1"/>
  </cols>
  <sheetData>
    <row r="1" spans="2:6" ht="14.25" customHeight="1" thickBot="1"/>
    <row r="2" spans="2:6" ht="14.25" customHeight="1" thickBot="1">
      <c r="B2" s="103" t="s">
        <v>360</v>
      </c>
      <c r="C2" s="102" t="s">
        <v>359</v>
      </c>
      <c r="D2" s="101" t="s">
        <v>358</v>
      </c>
      <c r="E2" s="100" t="s">
        <v>357</v>
      </c>
    </row>
    <row r="3" spans="2:6" ht="14.25" customHeight="1" thickBot="1">
      <c r="B3" s="99">
        <v>1</v>
      </c>
      <c r="C3" s="98">
        <v>2</v>
      </c>
      <c r="D3" s="97">
        <v>3</v>
      </c>
      <c r="E3" s="96">
        <v>4</v>
      </c>
    </row>
    <row r="4" spans="2:6" ht="14.25" customHeight="1" thickBot="1">
      <c r="B4" s="95" t="s">
        <v>356</v>
      </c>
      <c r="C4" s="299" t="s">
        <v>275</v>
      </c>
      <c r="D4" s="300"/>
      <c r="E4" s="301"/>
    </row>
    <row r="5" spans="2:6" ht="14.25" customHeight="1">
      <c r="B5" s="75">
        <v>1</v>
      </c>
      <c r="C5" s="94" t="s">
        <v>273</v>
      </c>
      <c r="D5" s="93" t="s">
        <v>263</v>
      </c>
      <c r="E5" s="92">
        <v>67850</v>
      </c>
      <c r="F5" s="53"/>
    </row>
    <row r="6" spans="2:6" ht="14.25" customHeight="1">
      <c r="B6" s="75">
        <v>2</v>
      </c>
      <c r="C6" s="74" t="s">
        <v>355</v>
      </c>
      <c r="D6" s="91" t="s">
        <v>263</v>
      </c>
      <c r="E6" s="73">
        <v>71300</v>
      </c>
      <c r="F6" s="53"/>
    </row>
    <row r="7" spans="2:6" ht="14.25" customHeight="1">
      <c r="B7" s="75">
        <v>3</v>
      </c>
      <c r="C7" s="74" t="s">
        <v>354</v>
      </c>
      <c r="D7" s="91" t="s">
        <v>263</v>
      </c>
      <c r="E7" s="73">
        <v>80500</v>
      </c>
      <c r="F7" s="53"/>
    </row>
    <row r="8" spans="2:6" ht="14.25" customHeight="1">
      <c r="B8" s="75">
        <v>4</v>
      </c>
      <c r="C8" s="74" t="s">
        <v>353</v>
      </c>
      <c r="D8" s="91" t="s">
        <v>263</v>
      </c>
      <c r="E8" s="73">
        <v>71300</v>
      </c>
      <c r="F8" s="53"/>
    </row>
    <row r="9" spans="2:6" ht="14.25" customHeight="1">
      <c r="B9" s="75">
        <v>5</v>
      </c>
      <c r="C9" s="74" t="s">
        <v>352</v>
      </c>
      <c r="D9" s="91" t="s">
        <v>263</v>
      </c>
      <c r="E9" s="73">
        <v>71300</v>
      </c>
      <c r="F9" s="53"/>
    </row>
    <row r="10" spans="2:6" ht="14.25" customHeight="1">
      <c r="B10" s="75">
        <v>6</v>
      </c>
      <c r="C10" s="74" t="s">
        <v>351</v>
      </c>
      <c r="D10" s="91" t="s">
        <v>263</v>
      </c>
      <c r="E10" s="73">
        <v>83375</v>
      </c>
      <c r="F10" s="53"/>
    </row>
    <row r="11" spans="2:6" ht="14.25" customHeight="1">
      <c r="B11" s="75">
        <v>7</v>
      </c>
      <c r="C11" s="74" t="s">
        <v>350</v>
      </c>
      <c r="D11" s="91" t="s">
        <v>263</v>
      </c>
      <c r="E11" s="73">
        <v>83375</v>
      </c>
      <c r="F11" s="53"/>
    </row>
    <row r="12" spans="2:6" ht="14.25" customHeight="1" thickBot="1">
      <c r="B12" s="75">
        <v>8</v>
      </c>
      <c r="C12" s="71" t="s">
        <v>264</v>
      </c>
      <c r="D12" s="90" t="s">
        <v>263</v>
      </c>
      <c r="E12" s="69">
        <v>92000</v>
      </c>
      <c r="F12" s="53"/>
    </row>
    <row r="13" spans="2:6" ht="14.25" customHeight="1" thickBot="1">
      <c r="B13" s="89" t="s">
        <v>349</v>
      </c>
      <c r="C13" s="299" t="s">
        <v>261</v>
      </c>
      <c r="D13" s="300"/>
      <c r="E13" s="301"/>
      <c r="F13" s="53"/>
    </row>
    <row r="14" spans="2:6" ht="14.25" customHeight="1">
      <c r="B14" s="88">
        <v>1</v>
      </c>
      <c r="C14" s="87" t="s">
        <v>348</v>
      </c>
      <c r="D14" s="86" t="s">
        <v>220</v>
      </c>
      <c r="E14" s="73">
        <v>3833332.9499999997</v>
      </c>
      <c r="F14" s="53"/>
    </row>
    <row r="15" spans="2:6" ht="14.25" customHeight="1">
      <c r="B15" s="83">
        <v>2</v>
      </c>
      <c r="C15" s="81" t="s">
        <v>347</v>
      </c>
      <c r="D15" s="60" t="s">
        <v>346</v>
      </c>
      <c r="E15" s="73">
        <v>26564.999999999996</v>
      </c>
      <c r="F15" s="53"/>
    </row>
    <row r="16" spans="2:6" ht="14.25" customHeight="1">
      <c r="B16" s="83">
        <v>3</v>
      </c>
      <c r="C16" s="81" t="s">
        <v>345</v>
      </c>
      <c r="D16" s="60" t="s">
        <v>325</v>
      </c>
      <c r="E16" s="73">
        <v>28749.999999999996</v>
      </c>
      <c r="F16" s="53"/>
    </row>
    <row r="17" spans="2:6" ht="14.25" customHeight="1">
      <c r="B17" s="83">
        <v>4</v>
      </c>
      <c r="C17" s="81" t="s">
        <v>344</v>
      </c>
      <c r="D17" s="60" t="s">
        <v>220</v>
      </c>
      <c r="E17" s="73">
        <v>246428.56649999996</v>
      </c>
      <c r="F17" s="53"/>
    </row>
    <row r="18" spans="2:6" ht="14.25" customHeight="1">
      <c r="B18" s="83">
        <v>5</v>
      </c>
      <c r="C18" s="81" t="s">
        <v>343</v>
      </c>
      <c r="D18" s="60" t="s">
        <v>220</v>
      </c>
      <c r="E18" s="73">
        <v>1190.25</v>
      </c>
      <c r="F18" s="53"/>
    </row>
    <row r="19" spans="2:6" ht="14.25" customHeight="1">
      <c r="B19" s="83">
        <v>6</v>
      </c>
      <c r="C19" s="81" t="s">
        <v>342</v>
      </c>
      <c r="D19" s="60" t="s">
        <v>198</v>
      </c>
      <c r="E19" s="73">
        <v>51749.999999999993</v>
      </c>
      <c r="F19" s="53"/>
    </row>
    <row r="20" spans="2:6" ht="14.25" customHeight="1">
      <c r="B20" s="83">
        <v>7</v>
      </c>
      <c r="C20" s="81" t="s">
        <v>341</v>
      </c>
      <c r="D20" s="60" t="s">
        <v>325</v>
      </c>
      <c r="E20" s="78">
        <v>10350</v>
      </c>
      <c r="F20" s="53"/>
    </row>
    <row r="21" spans="2:6" ht="14.25" customHeight="1">
      <c r="B21" s="83">
        <v>8</v>
      </c>
      <c r="C21" s="81" t="s">
        <v>340</v>
      </c>
      <c r="D21" s="60" t="s">
        <v>339</v>
      </c>
      <c r="E21" s="77">
        <v>23000</v>
      </c>
      <c r="F21" s="53"/>
    </row>
    <row r="22" spans="2:6" ht="14.25" customHeight="1">
      <c r="B22" s="83">
        <v>9</v>
      </c>
      <c r="C22" s="81" t="s">
        <v>338</v>
      </c>
      <c r="D22" s="60" t="s">
        <v>220</v>
      </c>
      <c r="E22" s="73">
        <v>332465</v>
      </c>
      <c r="F22" s="53"/>
    </row>
    <row r="23" spans="2:6" ht="14.25" customHeight="1">
      <c r="B23" s="83">
        <v>10</v>
      </c>
      <c r="C23" s="81" t="s">
        <v>337</v>
      </c>
      <c r="D23" s="60" t="s">
        <v>220</v>
      </c>
      <c r="E23" s="73">
        <v>338100</v>
      </c>
      <c r="F23" s="53"/>
    </row>
    <row r="24" spans="2:6" ht="14.25" customHeight="1">
      <c r="B24" s="83">
        <v>11</v>
      </c>
      <c r="C24" s="81" t="s">
        <v>336</v>
      </c>
      <c r="D24" s="60" t="s">
        <v>325</v>
      </c>
      <c r="E24" s="73">
        <v>187.45</v>
      </c>
      <c r="F24" s="53"/>
    </row>
    <row r="25" spans="2:6" ht="14.25" customHeight="1">
      <c r="B25" s="83">
        <v>12</v>
      </c>
      <c r="C25" s="81" t="s">
        <v>335</v>
      </c>
      <c r="D25" s="60" t="s">
        <v>325</v>
      </c>
      <c r="E25" s="73">
        <v>5175</v>
      </c>
      <c r="F25" s="53"/>
    </row>
    <row r="26" spans="2:6" ht="14.25" customHeight="1">
      <c r="B26" s="83">
        <v>13</v>
      </c>
      <c r="C26" s="81" t="s">
        <v>334</v>
      </c>
      <c r="D26" s="60" t="s">
        <v>220</v>
      </c>
      <c r="E26" s="73">
        <v>187.45</v>
      </c>
      <c r="F26" s="53"/>
    </row>
    <row r="27" spans="2:6" ht="14.25" customHeight="1">
      <c r="B27" s="83">
        <v>14</v>
      </c>
      <c r="C27" s="81" t="s">
        <v>333</v>
      </c>
      <c r="D27" s="60" t="s">
        <v>325</v>
      </c>
      <c r="E27" s="73">
        <v>977.49999999999989</v>
      </c>
      <c r="F27" s="53"/>
    </row>
    <row r="28" spans="2:6" ht="14.25" customHeight="1">
      <c r="B28" s="83">
        <v>15</v>
      </c>
      <c r="C28" s="81" t="s">
        <v>332</v>
      </c>
      <c r="D28" s="60" t="s">
        <v>325</v>
      </c>
      <c r="E28" s="78">
        <v>189.74999999999997</v>
      </c>
      <c r="F28" s="53"/>
    </row>
    <row r="29" spans="2:6" ht="14.25" customHeight="1">
      <c r="B29" s="83">
        <v>16</v>
      </c>
      <c r="C29" s="81" t="s">
        <v>175</v>
      </c>
      <c r="D29" s="60" t="s">
        <v>323</v>
      </c>
      <c r="E29" s="77">
        <v>57.499999999999993</v>
      </c>
      <c r="F29" s="53"/>
    </row>
    <row r="30" spans="2:6" ht="14.25" customHeight="1">
      <c r="B30" s="83">
        <v>17</v>
      </c>
      <c r="C30" s="81" t="s">
        <v>331</v>
      </c>
      <c r="D30" s="60" t="s">
        <v>220</v>
      </c>
      <c r="E30" s="73">
        <v>161000</v>
      </c>
      <c r="F30" s="53"/>
    </row>
    <row r="31" spans="2:6" ht="14.25" customHeight="1">
      <c r="B31" s="83">
        <v>18</v>
      </c>
      <c r="C31" s="81" t="s">
        <v>330</v>
      </c>
      <c r="D31" s="60" t="s">
        <v>325</v>
      </c>
      <c r="E31" s="73">
        <v>22233.3295</v>
      </c>
      <c r="F31" s="53"/>
    </row>
    <row r="32" spans="2:6" ht="14.25" customHeight="1">
      <c r="B32" s="83">
        <v>19</v>
      </c>
      <c r="C32" s="81" t="s">
        <v>329</v>
      </c>
      <c r="D32" s="60" t="s">
        <v>182</v>
      </c>
      <c r="E32" s="73">
        <v>151800</v>
      </c>
      <c r="F32" s="53"/>
    </row>
    <row r="33" spans="2:6" ht="14.25" customHeight="1">
      <c r="B33" s="83">
        <v>20</v>
      </c>
      <c r="C33" s="81" t="s">
        <v>328</v>
      </c>
      <c r="D33" s="60" t="s">
        <v>327</v>
      </c>
      <c r="E33" s="73">
        <v>356500</v>
      </c>
      <c r="F33" s="53"/>
    </row>
    <row r="34" spans="2:6" ht="14.25" customHeight="1">
      <c r="B34" s="83">
        <v>21</v>
      </c>
      <c r="C34" s="81" t="s">
        <v>326</v>
      </c>
      <c r="D34" s="60" t="s">
        <v>325</v>
      </c>
      <c r="E34" s="73">
        <v>21466.670499999997</v>
      </c>
      <c r="F34" s="53"/>
    </row>
    <row r="35" spans="2:6" ht="14.25" customHeight="1">
      <c r="B35" s="83">
        <v>22</v>
      </c>
      <c r="C35" s="81" t="s">
        <v>324</v>
      </c>
      <c r="D35" s="60" t="s">
        <v>323</v>
      </c>
      <c r="E35" s="73">
        <v>5750</v>
      </c>
      <c r="F35" s="53"/>
    </row>
    <row r="36" spans="2:6" ht="14.25" customHeight="1">
      <c r="B36" s="83">
        <v>23</v>
      </c>
      <c r="C36" s="85" t="s">
        <v>322</v>
      </c>
      <c r="D36" s="84" t="s">
        <v>182</v>
      </c>
      <c r="E36" s="78">
        <v>31624.999999999996</v>
      </c>
      <c r="F36" s="53"/>
    </row>
    <row r="37" spans="2:6" ht="14.25" customHeight="1">
      <c r="B37" s="83">
        <v>24</v>
      </c>
      <c r="C37" s="81" t="s">
        <v>321</v>
      </c>
      <c r="D37" s="60" t="s">
        <v>220</v>
      </c>
      <c r="E37" s="77">
        <v>710993.25</v>
      </c>
      <c r="F37" s="53"/>
    </row>
    <row r="38" spans="2:6" ht="14.25" customHeight="1">
      <c r="B38" s="83">
        <v>25</v>
      </c>
      <c r="C38" s="81" t="s">
        <v>320</v>
      </c>
      <c r="D38" s="60" t="s">
        <v>318</v>
      </c>
      <c r="E38" s="73">
        <v>10944.55</v>
      </c>
      <c r="F38" s="53"/>
    </row>
    <row r="39" spans="2:6" ht="14.25" customHeight="1">
      <c r="B39" s="83">
        <v>26</v>
      </c>
      <c r="C39" s="81" t="s">
        <v>319</v>
      </c>
      <c r="D39" s="60" t="s">
        <v>318</v>
      </c>
      <c r="E39" s="73">
        <v>575000</v>
      </c>
      <c r="F39" s="53"/>
    </row>
    <row r="40" spans="2:6" ht="14.25" customHeight="1" thickBot="1">
      <c r="B40" s="82">
        <v>27</v>
      </c>
      <c r="C40" s="81" t="s">
        <v>317</v>
      </c>
      <c r="D40" s="60" t="s">
        <v>220</v>
      </c>
      <c r="E40" s="73">
        <v>264500</v>
      </c>
      <c r="F40" s="53"/>
    </row>
    <row r="41" spans="2:6" ht="14.25" customHeight="1" thickBot="1">
      <c r="B41" s="80" t="s">
        <v>316</v>
      </c>
      <c r="C41" s="299" t="s">
        <v>315</v>
      </c>
      <c r="D41" s="300"/>
      <c r="E41" s="301"/>
      <c r="F41" s="53"/>
    </row>
    <row r="42" spans="2:6" ht="14.25" customHeight="1">
      <c r="B42" s="75">
        <v>1</v>
      </c>
      <c r="C42" s="74" t="s">
        <v>166</v>
      </c>
      <c r="D42" s="60" t="s">
        <v>309</v>
      </c>
      <c r="E42" s="73">
        <v>362250</v>
      </c>
      <c r="F42" s="53"/>
    </row>
    <row r="43" spans="2:6" ht="14.25" customHeight="1">
      <c r="B43" s="75">
        <v>2</v>
      </c>
      <c r="C43" s="74" t="s">
        <v>314</v>
      </c>
      <c r="D43" s="60" t="s">
        <v>309</v>
      </c>
      <c r="E43" s="79">
        <v>529448.5</v>
      </c>
      <c r="F43" s="53"/>
    </row>
    <row r="44" spans="2:6" ht="14.25" customHeight="1">
      <c r="B44" s="75">
        <v>3</v>
      </c>
      <c r="C44" s="74" t="s">
        <v>313</v>
      </c>
      <c r="D44" s="75" t="s">
        <v>303</v>
      </c>
      <c r="E44" s="78">
        <v>587420</v>
      </c>
      <c r="F44" s="53"/>
    </row>
    <row r="45" spans="2:6" ht="14.25" customHeight="1">
      <c r="B45" s="75">
        <v>4</v>
      </c>
      <c r="C45" s="74" t="s">
        <v>312</v>
      </c>
      <c r="D45" s="60" t="s">
        <v>309</v>
      </c>
      <c r="E45" s="77">
        <v>459999.99999999994</v>
      </c>
      <c r="F45" s="53"/>
    </row>
    <row r="46" spans="2:6" ht="14.25" customHeight="1">
      <c r="B46" s="75">
        <v>5</v>
      </c>
      <c r="C46" s="74" t="s">
        <v>311</v>
      </c>
      <c r="D46" s="60" t="s">
        <v>309</v>
      </c>
      <c r="E46" s="73">
        <v>4600</v>
      </c>
      <c r="F46" s="53"/>
    </row>
    <row r="47" spans="2:6" ht="14.25" customHeight="1">
      <c r="B47" s="75">
        <v>6</v>
      </c>
      <c r="C47" s="74" t="s">
        <v>310</v>
      </c>
      <c r="D47" s="60" t="s">
        <v>309</v>
      </c>
      <c r="E47" s="73">
        <v>4600</v>
      </c>
      <c r="F47" s="53"/>
    </row>
    <row r="48" spans="2:6" ht="14.25" customHeight="1">
      <c r="B48" s="75">
        <v>7</v>
      </c>
      <c r="C48" s="76" t="s">
        <v>308</v>
      </c>
      <c r="D48" s="60" t="s">
        <v>303</v>
      </c>
      <c r="E48" s="73">
        <v>295412</v>
      </c>
      <c r="F48" s="53"/>
    </row>
    <row r="49" spans="2:6" ht="14.25" customHeight="1">
      <c r="B49" s="75">
        <v>8</v>
      </c>
      <c r="C49" s="74" t="s">
        <v>307</v>
      </c>
      <c r="D49" s="60" t="s">
        <v>303</v>
      </c>
      <c r="E49" s="73">
        <v>324242.5</v>
      </c>
      <c r="F49" s="53"/>
    </row>
    <row r="50" spans="2:6" ht="14.25" customHeight="1">
      <c r="B50" s="75">
        <v>9</v>
      </c>
      <c r="C50" s="74" t="s">
        <v>306</v>
      </c>
      <c r="D50" s="60" t="s">
        <v>303</v>
      </c>
      <c r="E50" s="73">
        <v>705636.80299999996</v>
      </c>
      <c r="F50" s="53"/>
    </row>
    <row r="51" spans="2:6" ht="14.25" customHeight="1">
      <c r="B51" s="75">
        <v>10</v>
      </c>
      <c r="C51" s="74" t="s">
        <v>305</v>
      </c>
      <c r="D51" s="60" t="s">
        <v>303</v>
      </c>
      <c r="E51" s="73">
        <v>542829.86549999996</v>
      </c>
      <c r="F51" s="53"/>
    </row>
    <row r="52" spans="2:6" ht="14.25" customHeight="1" thickBot="1">
      <c r="B52" s="72">
        <v>11</v>
      </c>
      <c r="C52" s="71" t="s">
        <v>304</v>
      </c>
      <c r="D52" s="70" t="s">
        <v>303</v>
      </c>
      <c r="E52" s="69">
        <v>507908.99999999994</v>
      </c>
      <c r="F52" s="53"/>
    </row>
    <row r="53" spans="2:6" ht="14.25" customHeight="1" thickBot="1">
      <c r="B53" s="68" t="s">
        <v>302</v>
      </c>
      <c r="C53" s="302" t="s">
        <v>301</v>
      </c>
      <c r="D53" s="303"/>
      <c r="E53" s="304"/>
      <c r="F53" s="53"/>
    </row>
    <row r="54" spans="2:6" ht="14.25" customHeight="1">
      <c r="B54" s="67">
        <v>1</v>
      </c>
      <c r="C54" s="66" t="s">
        <v>300</v>
      </c>
      <c r="D54" s="65">
        <v>1</v>
      </c>
      <c r="E54" s="64">
        <v>3000000</v>
      </c>
      <c r="F54" s="53"/>
    </row>
    <row r="55" spans="2:6" ht="14.25" customHeight="1">
      <c r="B55" s="62">
        <v>2</v>
      </c>
      <c r="C55" s="61" t="s">
        <v>299</v>
      </c>
      <c r="D55" s="60">
        <v>1</v>
      </c>
      <c r="E55" s="59">
        <v>1500000</v>
      </c>
      <c r="F55" s="53"/>
    </row>
    <row r="56" spans="2:6" ht="14.25" customHeight="1">
      <c r="B56" s="62">
        <v>3</v>
      </c>
      <c r="C56" s="61" t="s">
        <v>298</v>
      </c>
      <c r="D56" s="60">
        <v>1</v>
      </c>
      <c r="E56" s="59">
        <v>2515232</v>
      </c>
      <c r="F56" s="53"/>
    </row>
    <row r="57" spans="2:6" ht="14.25" customHeight="1">
      <c r="B57" s="62">
        <v>4</v>
      </c>
      <c r="C57" s="61" t="s">
        <v>297</v>
      </c>
      <c r="D57" s="60">
        <v>1</v>
      </c>
      <c r="E57" s="59">
        <v>7500000</v>
      </c>
      <c r="F57" s="53"/>
    </row>
    <row r="58" spans="2:6" ht="14.25" customHeight="1">
      <c r="B58" s="62">
        <v>5</v>
      </c>
      <c r="C58" s="61" t="s">
        <v>296</v>
      </c>
      <c r="D58" s="60">
        <v>1</v>
      </c>
      <c r="E58" s="59">
        <v>3000000</v>
      </c>
      <c r="F58" s="53"/>
    </row>
    <row r="59" spans="2:6" ht="14.25" customHeight="1">
      <c r="B59" s="62">
        <v>6</v>
      </c>
      <c r="C59" s="61" t="s">
        <v>295</v>
      </c>
      <c r="D59" s="60">
        <v>1</v>
      </c>
      <c r="E59" s="59">
        <v>6600000</v>
      </c>
      <c r="F59" s="53"/>
    </row>
    <row r="60" spans="2:6" ht="14.25" customHeight="1">
      <c r="B60" s="62">
        <v>7</v>
      </c>
      <c r="C60" s="61" t="s">
        <v>294</v>
      </c>
      <c r="D60" s="60">
        <v>1</v>
      </c>
      <c r="E60" s="59">
        <v>25000000</v>
      </c>
      <c r="F60" s="53"/>
    </row>
    <row r="61" spans="2:6" ht="14.25" customHeight="1">
      <c r="B61" s="62">
        <v>8</v>
      </c>
      <c r="C61" s="61" t="s">
        <v>293</v>
      </c>
      <c r="D61" s="60">
        <v>1</v>
      </c>
      <c r="E61" s="59">
        <v>20000000</v>
      </c>
      <c r="F61" s="53"/>
    </row>
    <row r="62" spans="2:6" ht="14.25" customHeight="1">
      <c r="B62" s="62">
        <v>9</v>
      </c>
      <c r="C62" s="61" t="s">
        <v>292</v>
      </c>
      <c r="D62" s="60">
        <v>1</v>
      </c>
      <c r="E62" s="59">
        <v>80000000</v>
      </c>
      <c r="F62" s="53"/>
    </row>
    <row r="63" spans="2:6" ht="14.25" customHeight="1">
      <c r="B63" s="62">
        <v>10</v>
      </c>
      <c r="C63" s="61" t="s">
        <v>291</v>
      </c>
      <c r="D63" s="60">
        <v>1</v>
      </c>
      <c r="E63" s="59">
        <v>12000000</v>
      </c>
      <c r="F63" s="53"/>
    </row>
    <row r="64" spans="2:6" ht="14.25" customHeight="1">
      <c r="B64" s="62">
        <v>11</v>
      </c>
      <c r="C64" s="61" t="s">
        <v>290</v>
      </c>
      <c r="D64" s="60">
        <v>1</v>
      </c>
      <c r="E64" s="59">
        <v>50000000</v>
      </c>
      <c r="F64" s="53"/>
    </row>
    <row r="65" spans="2:7" ht="14.25" customHeight="1">
      <c r="B65" s="62">
        <v>12</v>
      </c>
      <c r="C65" s="61" t="s">
        <v>289</v>
      </c>
      <c r="D65" s="60">
        <v>1</v>
      </c>
      <c r="E65" s="59">
        <v>160000000</v>
      </c>
      <c r="F65" s="53"/>
    </row>
    <row r="66" spans="2:7" ht="14.25" customHeight="1">
      <c r="B66" s="62">
        <v>13</v>
      </c>
      <c r="C66" s="61" t="s">
        <v>288</v>
      </c>
      <c r="D66" s="60">
        <v>1</v>
      </c>
      <c r="E66" s="59">
        <v>10000000</v>
      </c>
      <c r="F66" s="53"/>
    </row>
    <row r="67" spans="2:7" ht="14.25" customHeight="1">
      <c r="B67" s="62">
        <v>14</v>
      </c>
      <c r="C67" s="63" t="s">
        <v>287</v>
      </c>
      <c r="D67" s="60">
        <v>1</v>
      </c>
      <c r="E67" s="59">
        <v>2500000</v>
      </c>
      <c r="F67" s="53"/>
    </row>
    <row r="68" spans="2:7" ht="14.25" customHeight="1">
      <c r="B68" s="62">
        <v>15</v>
      </c>
      <c r="C68" s="61" t="s">
        <v>286</v>
      </c>
      <c r="D68" s="60">
        <v>1</v>
      </c>
      <c r="E68" s="59">
        <v>550000</v>
      </c>
      <c r="F68" s="53"/>
      <c r="G68" s="54"/>
    </row>
    <row r="69" spans="2:7" ht="14.25" customHeight="1" thickBot="1">
      <c r="B69" s="58">
        <v>16</v>
      </c>
      <c r="C69" s="57" t="s">
        <v>285</v>
      </c>
      <c r="D69" s="56">
        <v>1</v>
      </c>
      <c r="E69" s="55">
        <v>1500000</v>
      </c>
      <c r="F69" s="53"/>
      <c r="G69" s="54"/>
    </row>
    <row r="70" spans="2:7" ht="14.25" customHeight="1">
      <c r="F70" s="53"/>
    </row>
    <row r="71" spans="2:7" ht="14.25" customHeight="1">
      <c r="F71" s="53"/>
    </row>
    <row r="72" spans="2:7" ht="14.25" customHeight="1">
      <c r="F72" s="53"/>
    </row>
    <row r="73" spans="2:7" ht="14.25" customHeight="1">
      <c r="F73" s="53"/>
    </row>
    <row r="74" spans="2:7" ht="14.25" customHeight="1"/>
    <row r="75" spans="2:7" ht="14.25" customHeight="1"/>
    <row r="76" spans="2:7" ht="14.25" customHeight="1"/>
    <row r="77" spans="2:7" ht="14.25" customHeight="1"/>
    <row r="78" spans="2:7" ht="14.25" customHeight="1"/>
    <row r="79" spans="2:7" ht="14.25" customHeight="1"/>
    <row r="80" spans="2:7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4">
    <mergeCell ref="C13:E13"/>
    <mergeCell ref="C41:E41"/>
    <mergeCell ref="C53:E53"/>
    <mergeCell ref="C4:E4"/>
  </mergeCells>
  <printOptions horizontalCentered="1" verticalCentered="1"/>
  <pageMargins left="0.78740157480314965" right="0.39370078740157483" top="0.39370078740157483" bottom="0.39370078740157483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6E4D-4F8F-4385-BFF7-B6F32F77A851}">
  <sheetPr>
    <tabColor theme="7"/>
  </sheetPr>
  <dimension ref="A1:O1000"/>
  <sheetViews>
    <sheetView topLeftCell="A88" workbookViewId="0">
      <selection activeCell="N127" sqref="N127"/>
    </sheetView>
  </sheetViews>
  <sheetFormatPr defaultColWidth="14.3984375" defaultRowHeight="15" customHeight="1"/>
  <cols>
    <col min="1" max="1" width="2.59765625" style="164" bestFit="1" customWidth="1"/>
    <col min="2" max="2" width="36.59765625" style="164" bestFit="1" customWidth="1"/>
    <col min="3" max="3" width="4.69921875" style="164" bestFit="1" customWidth="1"/>
    <col min="4" max="4" width="4.59765625" style="164" bestFit="1" customWidth="1"/>
    <col min="5" max="5" width="8.69921875" style="164" bestFit="1" customWidth="1"/>
    <col min="6" max="6" width="9.59765625" style="164" bestFit="1" customWidth="1"/>
    <col min="7" max="7" width="4.3984375" style="164" bestFit="1" customWidth="1"/>
    <col min="8" max="8" width="18.8984375" style="164" bestFit="1" customWidth="1"/>
    <col min="9" max="9" width="6.3984375" style="164" bestFit="1" customWidth="1"/>
    <col min="10" max="10" width="19.69921875" style="164" bestFit="1" customWidth="1"/>
    <col min="11" max="11" width="5.09765625" style="164" bestFit="1" customWidth="1"/>
    <col min="12" max="12" width="7.3984375" style="164" bestFit="1" customWidth="1"/>
    <col min="13" max="13" width="2.8984375" style="164" customWidth="1"/>
    <col min="14" max="26" width="8.69921875" style="164" customWidth="1"/>
    <col min="27" max="16384" width="14.3984375" style="164"/>
  </cols>
  <sheetData>
    <row r="1" spans="1:13" ht="31.5" customHeight="1">
      <c r="A1" s="305" t="s">
        <v>632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</row>
    <row r="2" spans="1:13" ht="118.5" customHeight="1">
      <c r="A2" s="307" t="s">
        <v>631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</row>
    <row r="3" spans="1:13" ht="128.25" customHeight="1">
      <c r="A3" s="307" t="s">
        <v>630</v>
      </c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</row>
    <row r="4" spans="1:13" ht="145.5" customHeight="1"/>
    <row r="5" spans="1:13" ht="126" customHeight="1"/>
    <row r="6" spans="1:13" ht="13.5" customHeight="1">
      <c r="A6" s="311" t="s">
        <v>629</v>
      </c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</row>
    <row r="7" spans="1:13" ht="8.25" customHeight="1">
      <c r="A7" s="187" t="s">
        <v>162</v>
      </c>
      <c r="B7" s="187" t="s">
        <v>161</v>
      </c>
      <c r="C7" s="187" t="s">
        <v>160</v>
      </c>
      <c r="D7" s="187" t="s">
        <v>159</v>
      </c>
      <c r="E7" s="174" t="s">
        <v>158</v>
      </c>
      <c r="F7" s="174" t="s">
        <v>157</v>
      </c>
      <c r="G7" s="174"/>
      <c r="H7" s="174"/>
      <c r="I7" s="174"/>
      <c r="J7" s="174"/>
      <c r="K7" s="174"/>
      <c r="L7" s="187" t="s">
        <v>628</v>
      </c>
    </row>
    <row r="8" spans="1:13" ht="8.25" customHeight="1">
      <c r="A8" s="187"/>
      <c r="B8" s="187"/>
      <c r="C8" s="187"/>
      <c r="D8" s="187"/>
      <c r="E8" s="174"/>
      <c r="F8" s="174" t="s">
        <v>155</v>
      </c>
      <c r="G8" s="174"/>
      <c r="H8" s="174" t="s">
        <v>154</v>
      </c>
      <c r="I8" s="174"/>
      <c r="J8" s="174" t="s">
        <v>153</v>
      </c>
      <c r="K8" s="174"/>
      <c r="L8" s="187"/>
    </row>
    <row r="9" spans="1:13" ht="8.25" customHeight="1">
      <c r="A9" s="187"/>
      <c r="B9" s="187"/>
      <c r="C9" s="187"/>
      <c r="D9" s="187"/>
      <c r="E9" s="174"/>
      <c r="F9" s="174" t="s">
        <v>152</v>
      </c>
      <c r="G9" s="188" t="s">
        <v>151</v>
      </c>
      <c r="H9" s="189" t="s">
        <v>152</v>
      </c>
      <c r="I9" s="174" t="s">
        <v>151</v>
      </c>
      <c r="J9" s="189" t="s">
        <v>152</v>
      </c>
      <c r="K9" s="188" t="s">
        <v>151</v>
      </c>
      <c r="L9" s="187"/>
    </row>
    <row r="10" spans="1:13" ht="8.25" customHeight="1">
      <c r="A10" s="186">
        <v>1</v>
      </c>
      <c r="B10" s="185" t="s">
        <v>627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</row>
    <row r="11" spans="1:13" ht="8.25" customHeight="1">
      <c r="A11" s="182">
        <v>2</v>
      </c>
      <c r="B11" s="181" t="s">
        <v>626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</row>
    <row r="12" spans="1:13" ht="8.25" customHeight="1">
      <c r="A12" s="169">
        <v>3</v>
      </c>
      <c r="B12" s="165" t="s">
        <v>299</v>
      </c>
      <c r="C12" s="169">
        <v>1</v>
      </c>
      <c r="D12" s="165" t="s">
        <v>125</v>
      </c>
      <c r="E12" s="169">
        <v>39</v>
      </c>
      <c r="F12" s="178"/>
      <c r="G12" s="178"/>
      <c r="H12" s="173" t="s">
        <v>625</v>
      </c>
      <c r="I12" s="167">
        <v>1</v>
      </c>
      <c r="J12" s="178"/>
      <c r="K12" s="178"/>
      <c r="L12" s="178"/>
    </row>
    <row r="13" spans="1:13" ht="8.25" customHeight="1">
      <c r="A13" s="308">
        <v>4</v>
      </c>
      <c r="B13" s="310" t="s">
        <v>147</v>
      </c>
      <c r="C13" s="310">
        <v>3000</v>
      </c>
      <c r="D13" s="310" t="s">
        <v>6</v>
      </c>
      <c r="E13" s="310">
        <v>14</v>
      </c>
      <c r="F13" s="173" t="s">
        <v>5</v>
      </c>
      <c r="G13" s="176">
        <v>957</v>
      </c>
      <c r="H13" s="178"/>
      <c r="I13" s="178"/>
      <c r="J13" s="173" t="s">
        <v>624</v>
      </c>
      <c r="K13" s="176">
        <v>144</v>
      </c>
      <c r="L13" s="310" t="s">
        <v>479</v>
      </c>
    </row>
    <row r="14" spans="1:13" ht="8.25" customHeight="1">
      <c r="A14" s="309"/>
      <c r="B14" s="309"/>
      <c r="C14" s="309"/>
      <c r="D14" s="309"/>
      <c r="E14" s="309"/>
      <c r="F14" s="173" t="s">
        <v>0</v>
      </c>
      <c r="G14" s="176">
        <v>96</v>
      </c>
      <c r="H14" s="178"/>
      <c r="I14" s="178"/>
      <c r="J14" s="173" t="s">
        <v>623</v>
      </c>
      <c r="K14" s="176">
        <v>96</v>
      </c>
      <c r="L14" s="309"/>
    </row>
    <row r="15" spans="1:13" ht="8.25" customHeight="1">
      <c r="A15" s="309"/>
      <c r="B15" s="309"/>
      <c r="C15" s="309"/>
      <c r="D15" s="309"/>
      <c r="E15" s="309"/>
      <c r="F15" s="178"/>
      <c r="G15" s="178"/>
      <c r="H15" s="178"/>
      <c r="I15" s="178"/>
      <c r="J15" s="173" t="s">
        <v>516</v>
      </c>
      <c r="K15" s="176">
        <v>165</v>
      </c>
      <c r="L15" s="309"/>
    </row>
    <row r="16" spans="1:13" ht="16.5" customHeight="1">
      <c r="A16" s="169">
        <v>5</v>
      </c>
      <c r="B16" s="165" t="s">
        <v>622</v>
      </c>
      <c r="C16" s="169">
        <v>1</v>
      </c>
      <c r="D16" s="165" t="s">
        <v>125</v>
      </c>
      <c r="E16" s="169">
        <v>39</v>
      </c>
      <c r="F16" s="172"/>
      <c r="G16" s="172"/>
      <c r="H16" s="166" t="s">
        <v>621</v>
      </c>
      <c r="I16" s="167">
        <v>1</v>
      </c>
      <c r="J16" s="172"/>
      <c r="K16" s="172"/>
      <c r="L16" s="165" t="s">
        <v>620</v>
      </c>
    </row>
    <row r="17" spans="1:12" ht="8.25" customHeight="1">
      <c r="A17" s="169">
        <v>6</v>
      </c>
      <c r="B17" s="165" t="s">
        <v>619</v>
      </c>
      <c r="C17" s="169">
        <v>1</v>
      </c>
      <c r="D17" s="165" t="s">
        <v>125</v>
      </c>
      <c r="E17" s="169">
        <v>39</v>
      </c>
      <c r="F17" s="178"/>
      <c r="G17" s="178"/>
      <c r="H17" s="173" t="s">
        <v>619</v>
      </c>
      <c r="I17" s="167">
        <v>1</v>
      </c>
      <c r="J17" s="178"/>
      <c r="K17" s="178"/>
      <c r="L17" s="165" t="s">
        <v>618</v>
      </c>
    </row>
    <row r="18" spans="1:12" ht="8.25" customHeight="1">
      <c r="A18" s="169">
        <v>7</v>
      </c>
      <c r="B18" s="165" t="s">
        <v>617</v>
      </c>
      <c r="C18" s="169">
        <v>1</v>
      </c>
      <c r="D18" s="165" t="s">
        <v>125</v>
      </c>
      <c r="E18" s="169">
        <v>1</v>
      </c>
      <c r="F18" s="178"/>
      <c r="G18" s="178"/>
      <c r="H18" s="173" t="s">
        <v>616</v>
      </c>
      <c r="I18" s="167">
        <v>1</v>
      </c>
      <c r="J18" s="178"/>
      <c r="K18" s="178"/>
      <c r="L18" s="165" t="s">
        <v>615</v>
      </c>
    </row>
    <row r="19" spans="1:12" ht="8.25" customHeight="1">
      <c r="A19" s="182">
        <v>8</v>
      </c>
      <c r="B19" s="181" t="s">
        <v>614</v>
      </c>
      <c r="C19" s="181"/>
      <c r="D19" s="181"/>
      <c r="E19" s="181"/>
      <c r="F19" s="181"/>
      <c r="G19" s="181"/>
      <c r="H19" s="181"/>
      <c r="I19" s="181"/>
      <c r="J19" s="181"/>
      <c r="K19" s="181"/>
      <c r="L19" s="181"/>
    </row>
    <row r="20" spans="1:12" ht="8.25" customHeight="1">
      <c r="A20" s="308">
        <v>9</v>
      </c>
      <c r="B20" s="310" t="s">
        <v>613</v>
      </c>
      <c r="C20" s="308">
        <v>750</v>
      </c>
      <c r="D20" s="308" t="s">
        <v>512</v>
      </c>
      <c r="E20" s="308">
        <v>3</v>
      </c>
      <c r="F20" s="173" t="s">
        <v>5</v>
      </c>
      <c r="G20" s="176">
        <v>218.55</v>
      </c>
      <c r="H20" s="178"/>
      <c r="I20" s="178"/>
      <c r="J20" s="173" t="s">
        <v>601</v>
      </c>
      <c r="K20" s="176">
        <v>36.450000000000003</v>
      </c>
      <c r="L20" s="308" t="s">
        <v>612</v>
      </c>
    </row>
    <row r="21" spans="1:12" ht="8.25" customHeight="1">
      <c r="A21" s="309"/>
      <c r="B21" s="309"/>
      <c r="C21" s="309"/>
      <c r="D21" s="309"/>
      <c r="E21" s="309"/>
      <c r="F21" s="173" t="s">
        <v>0</v>
      </c>
      <c r="G21" s="176">
        <v>36.450000000000003</v>
      </c>
      <c r="H21" s="178"/>
      <c r="I21" s="178"/>
      <c r="J21" s="173" t="s">
        <v>516</v>
      </c>
      <c r="K21" s="176">
        <v>85.28</v>
      </c>
      <c r="L21" s="309"/>
    </row>
    <row r="22" spans="1:12" ht="7.5" customHeight="1">
      <c r="A22" s="309"/>
      <c r="B22" s="309"/>
      <c r="C22" s="309"/>
      <c r="D22" s="309"/>
      <c r="E22" s="309"/>
      <c r="F22" s="178"/>
      <c r="G22" s="184"/>
      <c r="H22" s="178"/>
      <c r="I22" s="178"/>
      <c r="J22" s="178"/>
      <c r="K22" s="184"/>
      <c r="L22" s="309"/>
    </row>
    <row r="23" spans="1:12" ht="7.5" customHeight="1">
      <c r="A23" s="309"/>
      <c r="B23" s="309"/>
      <c r="C23" s="309"/>
      <c r="D23" s="309"/>
      <c r="E23" s="309"/>
      <c r="F23" s="178"/>
      <c r="G23" s="184"/>
      <c r="H23" s="178"/>
      <c r="I23" s="178"/>
      <c r="J23" s="178"/>
      <c r="K23" s="184"/>
      <c r="L23" s="309"/>
    </row>
    <row r="24" spans="1:12" ht="8.25" customHeight="1">
      <c r="A24" s="310">
        <v>10</v>
      </c>
      <c r="B24" s="310" t="s">
        <v>611</v>
      </c>
      <c r="C24" s="310">
        <v>60</v>
      </c>
      <c r="D24" s="310" t="s">
        <v>38</v>
      </c>
      <c r="E24" s="310">
        <v>1</v>
      </c>
      <c r="F24" s="173" t="s">
        <v>5</v>
      </c>
      <c r="G24" s="176">
        <v>96.38</v>
      </c>
      <c r="H24" s="173" t="s">
        <v>610</v>
      </c>
      <c r="I24" s="176">
        <v>96.68</v>
      </c>
      <c r="J24" s="173" t="s">
        <v>609</v>
      </c>
      <c r="K24" s="176">
        <v>4.82</v>
      </c>
      <c r="L24" s="310" t="s">
        <v>608</v>
      </c>
    </row>
    <row r="25" spans="1:12" ht="8.25" customHeight="1">
      <c r="A25" s="309"/>
      <c r="B25" s="309"/>
      <c r="C25" s="309"/>
      <c r="D25" s="309"/>
      <c r="E25" s="309"/>
      <c r="F25" s="173" t="s">
        <v>607</v>
      </c>
      <c r="G25" s="176">
        <v>38.56</v>
      </c>
      <c r="H25" s="173" t="s">
        <v>596</v>
      </c>
      <c r="I25" s="176">
        <v>9922.5</v>
      </c>
      <c r="J25" s="173" t="s">
        <v>606</v>
      </c>
      <c r="K25" s="176">
        <v>1.27</v>
      </c>
      <c r="L25" s="309"/>
    </row>
    <row r="26" spans="1:12" ht="8.25" customHeight="1">
      <c r="A26" s="309"/>
      <c r="B26" s="309"/>
      <c r="C26" s="309"/>
      <c r="D26" s="309"/>
      <c r="E26" s="309"/>
      <c r="F26" s="173" t="s">
        <v>0</v>
      </c>
      <c r="G26" s="176">
        <v>4.82</v>
      </c>
      <c r="H26" s="173" t="s">
        <v>595</v>
      </c>
      <c r="I26" s="176">
        <v>37.520000000000003</v>
      </c>
      <c r="J26" s="178"/>
      <c r="K26" s="184"/>
      <c r="L26" s="309"/>
    </row>
    <row r="27" spans="1:12" ht="8.25" customHeight="1">
      <c r="A27" s="309"/>
      <c r="B27" s="309"/>
      <c r="C27" s="309"/>
      <c r="D27" s="309"/>
      <c r="E27" s="309"/>
      <c r="F27" s="178"/>
      <c r="G27" s="184"/>
      <c r="H27" s="173" t="s">
        <v>32</v>
      </c>
      <c r="I27" s="176">
        <v>6345</v>
      </c>
      <c r="J27" s="178"/>
      <c r="K27" s="184"/>
      <c r="L27" s="309"/>
    </row>
    <row r="28" spans="1:12" ht="8.25" customHeight="1">
      <c r="A28" s="309"/>
      <c r="B28" s="309"/>
      <c r="C28" s="309"/>
      <c r="D28" s="309"/>
      <c r="E28" s="309"/>
      <c r="F28" s="178"/>
      <c r="G28" s="184"/>
      <c r="H28" s="173" t="s">
        <v>605</v>
      </c>
      <c r="I28" s="176">
        <v>9.6199999999999992</v>
      </c>
      <c r="J28" s="178"/>
      <c r="K28" s="184"/>
      <c r="L28" s="309"/>
    </row>
    <row r="29" spans="1:12" ht="8.25" customHeight="1">
      <c r="A29" s="309"/>
      <c r="B29" s="309"/>
      <c r="C29" s="309"/>
      <c r="D29" s="309"/>
      <c r="E29" s="309"/>
      <c r="F29" s="178"/>
      <c r="G29" s="184"/>
      <c r="H29" s="173" t="s">
        <v>541</v>
      </c>
      <c r="I29" s="176">
        <v>1.1499999999999999</v>
      </c>
      <c r="J29" s="178"/>
      <c r="K29" s="184"/>
      <c r="L29" s="309"/>
    </row>
    <row r="30" spans="1:12" ht="8.25" customHeight="1">
      <c r="A30" s="309"/>
      <c r="B30" s="309"/>
      <c r="C30" s="309"/>
      <c r="D30" s="309"/>
      <c r="E30" s="309"/>
      <c r="F30" s="178"/>
      <c r="G30" s="184"/>
      <c r="H30" s="173" t="s">
        <v>539</v>
      </c>
      <c r="I30" s="176">
        <v>16.93</v>
      </c>
      <c r="J30" s="178"/>
      <c r="K30" s="184"/>
      <c r="L30" s="309"/>
    </row>
    <row r="31" spans="1:12" ht="8.25" customHeight="1">
      <c r="A31" s="310">
        <v>11</v>
      </c>
      <c r="B31" s="310" t="s">
        <v>604</v>
      </c>
      <c r="C31" s="310">
        <v>9</v>
      </c>
      <c r="D31" s="310" t="s">
        <v>603</v>
      </c>
      <c r="E31" s="310">
        <v>1</v>
      </c>
      <c r="F31" s="173" t="s">
        <v>5</v>
      </c>
      <c r="G31" s="176">
        <v>0.55000000000000004</v>
      </c>
      <c r="H31" s="173" t="s">
        <v>602</v>
      </c>
      <c r="I31" s="176">
        <v>0.65</v>
      </c>
      <c r="J31" s="173" t="s">
        <v>601</v>
      </c>
      <c r="K31" s="176">
        <v>0.24</v>
      </c>
      <c r="L31" s="310" t="s">
        <v>466</v>
      </c>
    </row>
    <row r="32" spans="1:12" ht="8.25" customHeight="1">
      <c r="A32" s="309"/>
      <c r="B32" s="309"/>
      <c r="C32" s="309"/>
      <c r="D32" s="309"/>
      <c r="E32" s="309"/>
      <c r="F32" s="173" t="s">
        <v>504</v>
      </c>
      <c r="G32" s="176">
        <v>0.14000000000000001</v>
      </c>
      <c r="H32" s="173" t="s">
        <v>514</v>
      </c>
      <c r="I32" s="176">
        <v>50.2</v>
      </c>
      <c r="J32" s="173" t="s">
        <v>600</v>
      </c>
      <c r="K32" s="176">
        <v>2.68</v>
      </c>
      <c r="L32" s="309"/>
    </row>
    <row r="33" spans="1:14" ht="8.25" customHeight="1">
      <c r="A33" s="309"/>
      <c r="B33" s="309"/>
      <c r="C33" s="309"/>
      <c r="D33" s="309"/>
      <c r="E33" s="309"/>
      <c r="F33" s="173" t="s">
        <v>0</v>
      </c>
      <c r="G33" s="176">
        <v>0.14000000000000001</v>
      </c>
      <c r="H33" s="173" t="s">
        <v>599</v>
      </c>
      <c r="I33" s="176">
        <v>0.99</v>
      </c>
      <c r="J33" s="173" t="s">
        <v>505</v>
      </c>
      <c r="K33" s="176">
        <v>1.22</v>
      </c>
      <c r="L33" s="309"/>
    </row>
    <row r="34" spans="1:14" ht="8.25" customHeight="1">
      <c r="A34" s="309"/>
      <c r="B34" s="309"/>
      <c r="C34" s="309"/>
      <c r="D34" s="309"/>
      <c r="E34" s="309"/>
      <c r="F34" s="178"/>
      <c r="G34" s="178"/>
      <c r="H34" s="173" t="s">
        <v>598</v>
      </c>
      <c r="I34" s="176">
        <v>6.17</v>
      </c>
      <c r="J34" s="173" t="s">
        <v>502</v>
      </c>
      <c r="K34" s="176">
        <v>0.14000000000000001</v>
      </c>
      <c r="L34" s="309"/>
    </row>
    <row r="35" spans="1:14" ht="8.25" customHeight="1">
      <c r="A35" s="309"/>
      <c r="B35" s="309"/>
      <c r="C35" s="309"/>
      <c r="D35" s="309"/>
      <c r="E35" s="309"/>
      <c r="F35" s="178"/>
      <c r="G35" s="178"/>
      <c r="H35" s="173" t="s">
        <v>597</v>
      </c>
      <c r="I35" s="176">
        <v>9</v>
      </c>
      <c r="J35" s="178"/>
      <c r="K35" s="178"/>
      <c r="L35" s="309"/>
    </row>
    <row r="36" spans="1:14" ht="8.25" customHeight="1">
      <c r="A36" s="309"/>
      <c r="B36" s="309"/>
      <c r="C36" s="309"/>
      <c r="D36" s="309"/>
      <c r="E36" s="309"/>
      <c r="F36" s="178"/>
      <c r="G36" s="178"/>
      <c r="H36" s="173" t="s">
        <v>596</v>
      </c>
      <c r="I36" s="176">
        <v>8.16</v>
      </c>
      <c r="J36" s="178"/>
      <c r="K36" s="178"/>
      <c r="L36" s="309"/>
    </row>
    <row r="37" spans="1:14" ht="8.25" customHeight="1">
      <c r="A37" s="309"/>
      <c r="B37" s="309"/>
      <c r="C37" s="309"/>
      <c r="D37" s="309"/>
      <c r="E37" s="309"/>
      <c r="F37" s="178"/>
      <c r="G37" s="178"/>
      <c r="H37" s="173" t="s">
        <v>595</v>
      </c>
      <c r="I37" s="176">
        <v>0.03</v>
      </c>
      <c r="J37" s="178"/>
      <c r="K37" s="178"/>
      <c r="L37" s="309"/>
    </row>
    <row r="38" spans="1:14" ht="8.25" customHeight="1">
      <c r="A38" s="182">
        <v>12</v>
      </c>
      <c r="B38" s="181" t="s">
        <v>594</v>
      </c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N38" s="183"/>
    </row>
    <row r="39" spans="1:14" ht="8.25" customHeight="1">
      <c r="A39" s="308">
        <v>13</v>
      </c>
      <c r="B39" s="308" t="s">
        <v>593</v>
      </c>
      <c r="C39" s="308">
        <v>10500</v>
      </c>
      <c r="D39" s="308" t="s">
        <v>512</v>
      </c>
      <c r="E39" s="308">
        <v>5</v>
      </c>
      <c r="F39" s="173" t="s">
        <v>5</v>
      </c>
      <c r="G39" s="176">
        <v>343.35</v>
      </c>
      <c r="H39" s="178"/>
      <c r="I39" s="178"/>
      <c r="J39" s="173" t="s">
        <v>589</v>
      </c>
      <c r="K39" s="176">
        <v>171.15</v>
      </c>
      <c r="L39" s="308" t="s">
        <v>592</v>
      </c>
    </row>
    <row r="40" spans="1:14" ht="8.25" customHeight="1">
      <c r="A40" s="309"/>
      <c r="B40" s="309"/>
      <c r="C40" s="309"/>
      <c r="D40" s="309"/>
      <c r="E40" s="309"/>
      <c r="F40" s="173" t="s">
        <v>0</v>
      </c>
      <c r="G40" s="176">
        <v>171.15</v>
      </c>
      <c r="H40" s="178"/>
      <c r="I40" s="178"/>
      <c r="J40" s="173" t="s">
        <v>516</v>
      </c>
      <c r="K40" s="176">
        <v>626.85</v>
      </c>
      <c r="L40" s="309"/>
    </row>
    <row r="41" spans="1:14" ht="9" customHeight="1">
      <c r="A41" s="308">
        <v>14</v>
      </c>
      <c r="B41" s="308" t="s">
        <v>591</v>
      </c>
      <c r="C41" s="308">
        <v>4200</v>
      </c>
      <c r="D41" s="308" t="s">
        <v>512</v>
      </c>
      <c r="E41" s="308">
        <v>3</v>
      </c>
      <c r="F41" s="173" t="s">
        <v>5</v>
      </c>
      <c r="G41" s="176">
        <v>137.34</v>
      </c>
      <c r="H41" s="173" t="s">
        <v>590</v>
      </c>
      <c r="I41" s="176">
        <v>4895.1000000000004</v>
      </c>
      <c r="J41" s="173" t="s">
        <v>589</v>
      </c>
      <c r="K41" s="176">
        <v>44.1</v>
      </c>
      <c r="L41" s="312" t="s">
        <v>588</v>
      </c>
    </row>
    <row r="42" spans="1:14" ht="8.25" customHeight="1">
      <c r="A42" s="309"/>
      <c r="B42" s="309"/>
      <c r="C42" s="309"/>
      <c r="D42" s="309"/>
      <c r="E42" s="309"/>
      <c r="F42" s="173" t="s">
        <v>0</v>
      </c>
      <c r="G42" s="176">
        <v>68.459999999999994</v>
      </c>
      <c r="H42" s="178"/>
      <c r="I42" s="178"/>
      <c r="J42" s="173" t="s">
        <v>516</v>
      </c>
      <c r="K42" s="176">
        <v>262.08</v>
      </c>
      <c r="L42" s="309"/>
    </row>
    <row r="43" spans="1:14" ht="8.25" customHeight="1">
      <c r="A43" s="309"/>
      <c r="B43" s="309"/>
      <c r="C43" s="309"/>
      <c r="D43" s="309"/>
      <c r="E43" s="309"/>
      <c r="F43" s="178"/>
      <c r="G43" s="178"/>
      <c r="H43" s="178"/>
      <c r="I43" s="178"/>
      <c r="J43" s="173" t="s">
        <v>573</v>
      </c>
      <c r="K43" s="176">
        <v>15.96</v>
      </c>
      <c r="L43" s="309"/>
    </row>
    <row r="44" spans="1:14" ht="8.25" customHeight="1">
      <c r="A44" s="309"/>
      <c r="B44" s="309"/>
      <c r="C44" s="309"/>
      <c r="D44" s="309"/>
      <c r="E44" s="309"/>
      <c r="F44" s="178"/>
      <c r="G44" s="178"/>
      <c r="H44" s="178"/>
      <c r="I44" s="178"/>
      <c r="J44" s="173" t="s">
        <v>587</v>
      </c>
      <c r="K44" s="176">
        <v>39.9</v>
      </c>
      <c r="L44" s="309"/>
    </row>
    <row r="45" spans="1:14" ht="8.25" customHeight="1">
      <c r="A45" s="309"/>
      <c r="B45" s="309"/>
      <c r="C45" s="309"/>
      <c r="D45" s="309"/>
      <c r="E45" s="309"/>
      <c r="F45" s="178"/>
      <c r="G45" s="178"/>
      <c r="H45" s="178"/>
      <c r="I45" s="178"/>
      <c r="J45" s="173" t="s">
        <v>550</v>
      </c>
      <c r="K45" s="176">
        <v>21.84</v>
      </c>
      <c r="L45" s="309"/>
    </row>
    <row r="46" spans="1:14" ht="8.25" customHeight="1">
      <c r="A46" s="309"/>
      <c r="B46" s="309"/>
      <c r="C46" s="309"/>
      <c r="D46" s="309"/>
      <c r="E46" s="309"/>
      <c r="F46" s="178"/>
      <c r="G46" s="178"/>
      <c r="H46" s="178"/>
      <c r="I46" s="178"/>
      <c r="J46" s="173" t="s">
        <v>586</v>
      </c>
      <c r="K46" s="176">
        <v>29.4</v>
      </c>
      <c r="L46" s="309"/>
    </row>
    <row r="47" spans="1:14" ht="8.25" customHeight="1">
      <c r="A47" s="312">
        <v>15</v>
      </c>
      <c r="B47" s="312" t="s">
        <v>585</v>
      </c>
      <c r="C47" s="312">
        <v>21000</v>
      </c>
      <c r="D47" s="312" t="s">
        <v>6</v>
      </c>
      <c r="E47" s="312">
        <v>1</v>
      </c>
      <c r="F47" s="173" t="s">
        <v>5</v>
      </c>
      <c r="G47" s="176">
        <v>71.400000000000006</v>
      </c>
      <c r="H47" s="178"/>
      <c r="I47" s="178"/>
      <c r="J47" s="173" t="s">
        <v>573</v>
      </c>
      <c r="K47" s="176">
        <v>35.700000000000003</v>
      </c>
      <c r="L47" s="312" t="s">
        <v>460</v>
      </c>
    </row>
    <row r="48" spans="1:14" ht="8.25" customHeight="1">
      <c r="A48" s="309"/>
      <c r="B48" s="309"/>
      <c r="C48" s="309"/>
      <c r="D48" s="309"/>
      <c r="E48" s="309"/>
      <c r="F48" s="173" t="s">
        <v>0</v>
      </c>
      <c r="G48" s="176">
        <v>29.4</v>
      </c>
      <c r="H48" s="178"/>
      <c r="I48" s="178"/>
      <c r="J48" s="173" t="s">
        <v>584</v>
      </c>
      <c r="K48" s="176">
        <v>29.4</v>
      </c>
      <c r="L48" s="309"/>
    </row>
    <row r="49" spans="1:14" ht="8.25" customHeight="1">
      <c r="A49" s="182">
        <v>16</v>
      </c>
      <c r="B49" s="181" t="s">
        <v>583</v>
      </c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N49" s="183"/>
    </row>
    <row r="50" spans="1:14" ht="8.25" customHeight="1">
      <c r="A50" s="308">
        <v>17</v>
      </c>
      <c r="B50" s="310" t="s">
        <v>576</v>
      </c>
      <c r="C50" s="310">
        <v>4200</v>
      </c>
      <c r="D50" s="310" t="s">
        <v>38</v>
      </c>
      <c r="E50" s="310">
        <v>3</v>
      </c>
      <c r="F50" s="173" t="s">
        <v>5</v>
      </c>
      <c r="G50" s="176">
        <v>207.48</v>
      </c>
      <c r="H50" s="173" t="s">
        <v>575</v>
      </c>
      <c r="I50" s="176">
        <v>5297.46</v>
      </c>
      <c r="J50" s="173" t="s">
        <v>557</v>
      </c>
      <c r="K50" s="176">
        <v>29.82</v>
      </c>
      <c r="L50" s="310" t="s">
        <v>582</v>
      </c>
    </row>
    <row r="51" spans="1:14" ht="8.25" customHeight="1">
      <c r="A51" s="309"/>
      <c r="B51" s="309"/>
      <c r="C51" s="309"/>
      <c r="D51" s="309"/>
      <c r="E51" s="309"/>
      <c r="F51" s="173" t="s">
        <v>0</v>
      </c>
      <c r="G51" s="176">
        <v>29.82</v>
      </c>
      <c r="H51" s="178"/>
      <c r="I51" s="176"/>
      <c r="J51" s="173" t="s">
        <v>516</v>
      </c>
      <c r="K51" s="176">
        <v>795.06</v>
      </c>
      <c r="L51" s="309"/>
    </row>
    <row r="52" spans="1:14" ht="8.25" customHeight="1">
      <c r="A52" s="309"/>
      <c r="B52" s="309"/>
      <c r="C52" s="309"/>
      <c r="D52" s="309"/>
      <c r="E52" s="309"/>
      <c r="F52" s="178"/>
      <c r="G52" s="176"/>
      <c r="H52" s="178"/>
      <c r="I52" s="176"/>
      <c r="J52" s="173" t="s">
        <v>573</v>
      </c>
      <c r="K52" s="176">
        <v>44.52</v>
      </c>
      <c r="L52" s="309"/>
    </row>
    <row r="53" spans="1:14" ht="8.25" customHeight="1">
      <c r="A53" s="309"/>
      <c r="B53" s="309"/>
      <c r="C53" s="309"/>
      <c r="D53" s="309"/>
      <c r="E53" s="309"/>
      <c r="F53" s="178"/>
      <c r="G53" s="176"/>
      <c r="H53" s="178"/>
      <c r="I53" s="176"/>
      <c r="J53" s="173" t="s">
        <v>572</v>
      </c>
      <c r="K53" s="176">
        <v>57.96</v>
      </c>
      <c r="L53" s="309"/>
    </row>
    <row r="54" spans="1:14" ht="8.25" customHeight="1">
      <c r="A54" s="308">
        <v>18</v>
      </c>
      <c r="B54" s="310" t="s">
        <v>579</v>
      </c>
      <c r="C54" s="308">
        <v>600</v>
      </c>
      <c r="D54" s="308" t="s">
        <v>512</v>
      </c>
      <c r="E54" s="308">
        <v>2</v>
      </c>
      <c r="F54" s="173" t="s">
        <v>5</v>
      </c>
      <c r="G54" s="176">
        <v>74.760000000000005</v>
      </c>
      <c r="H54" s="173" t="s">
        <v>578</v>
      </c>
      <c r="I54" s="176">
        <v>773.4</v>
      </c>
      <c r="J54" s="173" t="s">
        <v>557</v>
      </c>
      <c r="K54" s="176">
        <v>5.22</v>
      </c>
      <c r="L54" s="312" t="s">
        <v>581</v>
      </c>
    </row>
    <row r="55" spans="1:14" ht="8.25" customHeight="1">
      <c r="A55" s="309"/>
      <c r="B55" s="309"/>
      <c r="C55" s="309"/>
      <c r="D55" s="309"/>
      <c r="E55" s="309"/>
      <c r="F55" s="173" t="s">
        <v>0</v>
      </c>
      <c r="G55" s="176">
        <v>9.36</v>
      </c>
      <c r="H55" s="178"/>
      <c r="I55" s="178"/>
      <c r="J55" s="173" t="s">
        <v>516</v>
      </c>
      <c r="K55" s="176">
        <v>159</v>
      </c>
      <c r="L55" s="309"/>
    </row>
    <row r="56" spans="1:14" ht="8.25" customHeight="1">
      <c r="A56" s="309"/>
      <c r="B56" s="309"/>
      <c r="C56" s="309"/>
      <c r="D56" s="309"/>
      <c r="E56" s="309"/>
      <c r="F56" s="178"/>
      <c r="G56" s="178"/>
      <c r="H56" s="178"/>
      <c r="I56" s="178"/>
      <c r="J56" s="173" t="s">
        <v>573</v>
      </c>
      <c r="K56" s="176">
        <v>2.64</v>
      </c>
      <c r="L56" s="309"/>
    </row>
    <row r="57" spans="1:14" ht="8.25" customHeight="1">
      <c r="A57" s="309"/>
      <c r="B57" s="309"/>
      <c r="C57" s="309"/>
      <c r="D57" s="309"/>
      <c r="E57" s="309"/>
      <c r="F57" s="178"/>
      <c r="G57" s="178"/>
      <c r="H57" s="178"/>
      <c r="I57" s="178"/>
      <c r="J57" s="173" t="s">
        <v>572</v>
      </c>
      <c r="K57" s="176">
        <v>9.36</v>
      </c>
      <c r="L57" s="309"/>
    </row>
    <row r="58" spans="1:14" ht="8.25" customHeight="1">
      <c r="A58" s="182">
        <v>19</v>
      </c>
      <c r="B58" s="181" t="s">
        <v>580</v>
      </c>
      <c r="C58" s="181"/>
      <c r="D58" s="181"/>
      <c r="E58" s="181"/>
      <c r="F58" s="181"/>
      <c r="G58" s="181"/>
      <c r="H58" s="181"/>
      <c r="I58" s="181"/>
      <c r="J58" s="181"/>
      <c r="K58" s="181"/>
      <c r="L58" s="181"/>
    </row>
    <row r="59" spans="1:14" ht="8.25" customHeight="1">
      <c r="A59" s="308">
        <v>20</v>
      </c>
      <c r="B59" s="310" t="s">
        <v>579</v>
      </c>
      <c r="C59" s="310">
        <v>600</v>
      </c>
      <c r="D59" s="313" t="s">
        <v>512</v>
      </c>
      <c r="E59" s="310">
        <v>2</v>
      </c>
      <c r="F59" s="173" t="s">
        <v>5</v>
      </c>
      <c r="G59" s="176">
        <v>74.760000000000005</v>
      </c>
      <c r="H59" s="173" t="s">
        <v>578</v>
      </c>
      <c r="I59" s="176">
        <v>773.4</v>
      </c>
      <c r="J59" s="173" t="s">
        <v>557</v>
      </c>
      <c r="K59" s="176">
        <v>5.22</v>
      </c>
      <c r="L59" s="310" t="s">
        <v>577</v>
      </c>
    </row>
    <row r="60" spans="1:14" ht="8.25" customHeight="1">
      <c r="A60" s="309"/>
      <c r="B60" s="309"/>
      <c r="C60" s="309"/>
      <c r="D60" s="309"/>
      <c r="E60" s="309"/>
      <c r="F60" s="173" t="s">
        <v>0</v>
      </c>
      <c r="G60" s="176">
        <v>9.36</v>
      </c>
      <c r="H60" s="178"/>
      <c r="I60" s="176"/>
      <c r="J60" s="173" t="s">
        <v>516</v>
      </c>
      <c r="K60" s="176">
        <v>159</v>
      </c>
      <c r="L60" s="309"/>
    </row>
    <row r="61" spans="1:14" ht="8.25" customHeight="1">
      <c r="A61" s="309"/>
      <c r="B61" s="309"/>
      <c r="C61" s="309"/>
      <c r="D61" s="309"/>
      <c r="E61" s="309"/>
      <c r="F61" s="178"/>
      <c r="G61" s="176"/>
      <c r="H61" s="178"/>
      <c r="I61" s="176"/>
      <c r="J61" s="173" t="s">
        <v>573</v>
      </c>
      <c r="K61" s="176">
        <v>2.64</v>
      </c>
      <c r="L61" s="309"/>
    </row>
    <row r="62" spans="1:14" ht="8.25" customHeight="1">
      <c r="A62" s="309"/>
      <c r="B62" s="309"/>
      <c r="C62" s="309"/>
      <c r="D62" s="309"/>
      <c r="E62" s="309"/>
      <c r="F62" s="178"/>
      <c r="G62" s="176"/>
      <c r="H62" s="178"/>
      <c r="I62" s="176"/>
      <c r="J62" s="173" t="s">
        <v>572</v>
      </c>
      <c r="K62" s="176">
        <v>9.36</v>
      </c>
      <c r="L62" s="309"/>
    </row>
    <row r="63" spans="1:14" ht="8.25" customHeight="1">
      <c r="A63" s="308">
        <v>21</v>
      </c>
      <c r="B63" s="310" t="s">
        <v>576</v>
      </c>
      <c r="C63" s="310">
        <v>4200</v>
      </c>
      <c r="D63" s="310" t="s">
        <v>38</v>
      </c>
      <c r="E63" s="310">
        <v>3</v>
      </c>
      <c r="F63" s="173" t="s">
        <v>5</v>
      </c>
      <c r="G63" s="176">
        <v>207.48</v>
      </c>
      <c r="H63" s="173" t="s">
        <v>575</v>
      </c>
      <c r="I63" s="176">
        <v>5297.46</v>
      </c>
      <c r="J63" s="173" t="s">
        <v>557</v>
      </c>
      <c r="K63" s="176">
        <v>29.82</v>
      </c>
      <c r="L63" s="312" t="s">
        <v>574</v>
      </c>
    </row>
    <row r="64" spans="1:14" ht="8.25" customHeight="1">
      <c r="A64" s="309"/>
      <c r="B64" s="309"/>
      <c r="C64" s="309"/>
      <c r="D64" s="309"/>
      <c r="E64" s="309"/>
      <c r="F64" s="173" t="s">
        <v>0</v>
      </c>
      <c r="G64" s="176">
        <v>29.82</v>
      </c>
      <c r="H64" s="178"/>
      <c r="I64" s="176"/>
      <c r="J64" s="173" t="s">
        <v>516</v>
      </c>
      <c r="K64" s="176">
        <v>795.06</v>
      </c>
      <c r="L64" s="309"/>
    </row>
    <row r="65" spans="1:12" ht="8.25" customHeight="1">
      <c r="A65" s="309"/>
      <c r="B65" s="309"/>
      <c r="C65" s="309"/>
      <c r="D65" s="309"/>
      <c r="E65" s="309"/>
      <c r="F65" s="178"/>
      <c r="G65" s="176"/>
      <c r="H65" s="178"/>
      <c r="I65" s="176"/>
      <c r="J65" s="173" t="s">
        <v>573</v>
      </c>
      <c r="K65" s="176">
        <v>44.52</v>
      </c>
      <c r="L65" s="309"/>
    </row>
    <row r="66" spans="1:12" ht="8.25" customHeight="1">
      <c r="A66" s="309"/>
      <c r="B66" s="309"/>
      <c r="C66" s="309"/>
      <c r="D66" s="309"/>
      <c r="E66" s="309"/>
      <c r="F66" s="178"/>
      <c r="G66" s="176"/>
      <c r="H66" s="178"/>
      <c r="I66" s="176"/>
      <c r="J66" s="173" t="s">
        <v>572</v>
      </c>
      <c r="K66" s="176">
        <v>57.96</v>
      </c>
      <c r="L66" s="309"/>
    </row>
    <row r="67" spans="1:12" ht="8.25" customHeight="1">
      <c r="A67" s="308">
        <v>22</v>
      </c>
      <c r="B67" s="308" t="s">
        <v>571</v>
      </c>
      <c r="C67" s="308">
        <v>1400</v>
      </c>
      <c r="D67" s="308" t="s">
        <v>512</v>
      </c>
      <c r="E67" s="308">
        <v>7</v>
      </c>
      <c r="F67" s="173" t="s">
        <v>5</v>
      </c>
      <c r="G67" s="176">
        <v>339.78</v>
      </c>
      <c r="H67" s="173" t="s">
        <v>570</v>
      </c>
      <c r="I67" s="176">
        <v>1779.96</v>
      </c>
      <c r="J67" s="173" t="s">
        <v>569</v>
      </c>
      <c r="K67" s="176">
        <v>1405.6</v>
      </c>
      <c r="L67" s="312" t="s">
        <v>568</v>
      </c>
    </row>
    <row r="68" spans="1:12" ht="8.25" customHeight="1">
      <c r="A68" s="309"/>
      <c r="B68" s="309"/>
      <c r="C68" s="309"/>
      <c r="D68" s="309"/>
      <c r="E68" s="309"/>
      <c r="F68" s="173" t="s">
        <v>0</v>
      </c>
      <c r="G68" s="176">
        <v>20.02</v>
      </c>
      <c r="H68" s="178"/>
      <c r="I68" s="178"/>
      <c r="J68" s="173" t="s">
        <v>531</v>
      </c>
      <c r="K68" s="176">
        <v>1405.6</v>
      </c>
      <c r="L68" s="309"/>
    </row>
    <row r="69" spans="1:12" ht="8.25" customHeight="1">
      <c r="A69" s="309"/>
      <c r="B69" s="309"/>
      <c r="C69" s="309"/>
      <c r="D69" s="309"/>
      <c r="E69" s="309"/>
      <c r="F69" s="178"/>
      <c r="G69" s="178"/>
      <c r="H69" s="178"/>
      <c r="I69" s="178"/>
      <c r="J69" s="173" t="s">
        <v>557</v>
      </c>
      <c r="K69" s="176">
        <v>12.04</v>
      </c>
      <c r="L69" s="309"/>
    </row>
    <row r="70" spans="1:12" ht="8.25" customHeight="1">
      <c r="A70" s="309"/>
      <c r="B70" s="309"/>
      <c r="C70" s="309"/>
      <c r="D70" s="309"/>
      <c r="E70" s="309"/>
      <c r="F70" s="178"/>
      <c r="G70" s="178"/>
      <c r="H70" s="178"/>
      <c r="I70" s="178"/>
      <c r="J70" s="173" t="s">
        <v>516</v>
      </c>
      <c r="K70" s="176">
        <v>235.2</v>
      </c>
      <c r="L70" s="309"/>
    </row>
    <row r="71" spans="1:12" ht="8.25" customHeight="1">
      <c r="A71" s="309"/>
      <c r="B71" s="309"/>
      <c r="C71" s="309"/>
      <c r="D71" s="309"/>
      <c r="E71" s="309"/>
      <c r="F71" s="178"/>
      <c r="G71" s="178"/>
      <c r="H71" s="178"/>
      <c r="I71" s="178"/>
      <c r="J71" s="173" t="s">
        <v>567</v>
      </c>
      <c r="K71" s="176">
        <v>103.6</v>
      </c>
      <c r="L71" s="309"/>
    </row>
    <row r="72" spans="1:12" ht="8.25" customHeight="1">
      <c r="A72" s="182">
        <v>23</v>
      </c>
      <c r="B72" s="181" t="s">
        <v>566</v>
      </c>
      <c r="C72" s="181"/>
      <c r="D72" s="181"/>
      <c r="E72" s="181"/>
      <c r="F72" s="181"/>
      <c r="G72" s="181"/>
      <c r="H72" s="181"/>
      <c r="I72" s="181"/>
      <c r="J72" s="181"/>
      <c r="K72" s="181"/>
      <c r="L72" s="181"/>
    </row>
    <row r="73" spans="1:12" ht="8.25" customHeight="1">
      <c r="A73" s="308">
        <v>24</v>
      </c>
      <c r="B73" s="310" t="s">
        <v>565</v>
      </c>
      <c r="C73" s="310">
        <v>14000</v>
      </c>
      <c r="D73" s="310" t="s">
        <v>6</v>
      </c>
      <c r="E73" s="310">
        <v>1</v>
      </c>
      <c r="F73" s="173" t="s">
        <v>5</v>
      </c>
      <c r="G73" s="176">
        <v>29.4</v>
      </c>
      <c r="H73" s="173" t="s">
        <v>564</v>
      </c>
      <c r="I73" s="176">
        <v>23800</v>
      </c>
      <c r="J73" s="173" t="s">
        <v>563</v>
      </c>
      <c r="K73" s="176">
        <v>2.8</v>
      </c>
      <c r="L73" s="310" t="s">
        <v>562</v>
      </c>
    </row>
    <row r="74" spans="1:12" ht="8.25" customHeight="1">
      <c r="A74" s="309"/>
      <c r="B74" s="309"/>
      <c r="C74" s="309"/>
      <c r="D74" s="309"/>
      <c r="E74" s="309"/>
      <c r="F74" s="173" t="s">
        <v>0</v>
      </c>
      <c r="G74" s="176">
        <v>14</v>
      </c>
      <c r="H74" s="178"/>
      <c r="I74" s="176"/>
      <c r="J74" s="173" t="s">
        <v>531</v>
      </c>
      <c r="K74" s="176">
        <v>14</v>
      </c>
      <c r="L74" s="309"/>
    </row>
    <row r="75" spans="1:12" ht="8.25" customHeight="1">
      <c r="A75" s="309"/>
      <c r="B75" s="309"/>
      <c r="C75" s="309"/>
      <c r="D75" s="309"/>
      <c r="E75" s="309"/>
      <c r="F75" s="178"/>
      <c r="G75" s="176"/>
      <c r="H75" s="178"/>
      <c r="I75" s="176"/>
      <c r="J75" s="173" t="s">
        <v>561</v>
      </c>
      <c r="K75" s="176">
        <v>11.2</v>
      </c>
      <c r="L75" s="309"/>
    </row>
    <row r="76" spans="1:12" ht="7.5" customHeight="1">
      <c r="A76" s="309"/>
      <c r="B76" s="309"/>
      <c r="C76" s="309"/>
      <c r="D76" s="309"/>
      <c r="E76" s="309"/>
      <c r="F76" s="178"/>
      <c r="G76" s="176"/>
      <c r="H76" s="178"/>
      <c r="I76" s="176"/>
      <c r="J76" s="178"/>
      <c r="K76" s="176"/>
      <c r="L76" s="309"/>
    </row>
    <row r="77" spans="1:12" ht="8.25" customHeight="1">
      <c r="A77" s="308">
        <v>25</v>
      </c>
      <c r="B77" s="308" t="s">
        <v>560</v>
      </c>
      <c r="C77" s="308">
        <v>1260</v>
      </c>
      <c r="D77" s="308" t="s">
        <v>512</v>
      </c>
      <c r="E77" s="308">
        <v>4</v>
      </c>
      <c r="F77" s="173" t="s">
        <v>5</v>
      </c>
      <c r="G77" s="176">
        <v>253.01</v>
      </c>
      <c r="H77" s="173" t="s">
        <v>558</v>
      </c>
      <c r="I77" s="176">
        <v>490.14</v>
      </c>
      <c r="J77" s="173" t="s">
        <v>557</v>
      </c>
      <c r="K77" s="176">
        <v>16.25</v>
      </c>
      <c r="L77" s="312" t="s">
        <v>450</v>
      </c>
    </row>
    <row r="78" spans="1:12" ht="8.25" customHeight="1">
      <c r="A78" s="309"/>
      <c r="B78" s="309"/>
      <c r="C78" s="309"/>
      <c r="D78" s="309"/>
      <c r="E78" s="309"/>
      <c r="F78" s="173" t="s">
        <v>0</v>
      </c>
      <c r="G78" s="176">
        <v>25.33</v>
      </c>
      <c r="H78" s="173" t="s">
        <v>543</v>
      </c>
      <c r="I78" s="176">
        <v>471.49</v>
      </c>
      <c r="J78" s="173" t="s">
        <v>555</v>
      </c>
      <c r="K78" s="176">
        <v>25.33</v>
      </c>
      <c r="L78" s="309"/>
    </row>
    <row r="79" spans="1:12" ht="8.25" customHeight="1">
      <c r="A79" s="309"/>
      <c r="B79" s="309"/>
      <c r="C79" s="309"/>
      <c r="D79" s="309"/>
      <c r="E79" s="309"/>
      <c r="F79" s="178"/>
      <c r="G79" s="176"/>
      <c r="H79" s="173" t="s">
        <v>547</v>
      </c>
      <c r="I79" s="176">
        <v>12080.88</v>
      </c>
      <c r="J79" s="173" t="s">
        <v>554</v>
      </c>
      <c r="K79" s="176">
        <v>25.33</v>
      </c>
      <c r="L79" s="309"/>
    </row>
    <row r="80" spans="1:12" ht="8.25" customHeight="1">
      <c r="A80" s="309"/>
      <c r="B80" s="309"/>
      <c r="C80" s="309"/>
      <c r="D80" s="309"/>
      <c r="E80" s="309"/>
      <c r="F80" s="178"/>
      <c r="G80" s="176"/>
      <c r="H80" s="173" t="s">
        <v>553</v>
      </c>
      <c r="I80" s="176">
        <v>73256.399999999994</v>
      </c>
      <c r="J80" s="173" t="s">
        <v>552</v>
      </c>
      <c r="K80" s="176">
        <v>119.07</v>
      </c>
      <c r="L80" s="309"/>
    </row>
    <row r="81" spans="1:12" ht="8.25" customHeight="1">
      <c r="A81" s="309"/>
      <c r="B81" s="309"/>
      <c r="C81" s="309"/>
      <c r="D81" s="309"/>
      <c r="E81" s="309"/>
      <c r="F81" s="178"/>
      <c r="G81" s="176"/>
      <c r="H81" s="178"/>
      <c r="I81" s="176"/>
      <c r="J81" s="173" t="s">
        <v>551</v>
      </c>
      <c r="K81" s="176">
        <v>10.46</v>
      </c>
      <c r="L81" s="309"/>
    </row>
    <row r="82" spans="1:12" ht="8.25" customHeight="1">
      <c r="A82" s="309"/>
      <c r="B82" s="309"/>
      <c r="C82" s="309"/>
      <c r="D82" s="309"/>
      <c r="E82" s="309"/>
      <c r="F82" s="178"/>
      <c r="G82" s="176"/>
      <c r="H82" s="178"/>
      <c r="I82" s="176"/>
      <c r="J82" s="173" t="s">
        <v>550</v>
      </c>
      <c r="K82" s="176">
        <v>8.44</v>
      </c>
      <c r="L82" s="309"/>
    </row>
    <row r="83" spans="1:12" ht="8.25" customHeight="1">
      <c r="A83" s="309"/>
      <c r="B83" s="309"/>
      <c r="C83" s="309"/>
      <c r="D83" s="309"/>
      <c r="E83" s="309"/>
      <c r="F83" s="178"/>
      <c r="G83" s="176"/>
      <c r="H83" s="178"/>
      <c r="I83" s="176"/>
      <c r="J83" s="173" t="s">
        <v>549</v>
      </c>
      <c r="K83" s="176">
        <v>9.9499999999999993</v>
      </c>
      <c r="L83" s="309"/>
    </row>
    <row r="84" spans="1:12" ht="8.25" customHeight="1">
      <c r="A84" s="308">
        <v>26</v>
      </c>
      <c r="B84" s="308" t="s">
        <v>559</v>
      </c>
      <c r="C84" s="308">
        <v>840</v>
      </c>
      <c r="D84" s="308" t="s">
        <v>512</v>
      </c>
      <c r="E84" s="308">
        <v>3</v>
      </c>
      <c r="F84" s="173" t="s">
        <v>5</v>
      </c>
      <c r="G84" s="176">
        <v>168.67</v>
      </c>
      <c r="H84" s="173" t="s">
        <v>558</v>
      </c>
      <c r="I84" s="176">
        <v>279.89</v>
      </c>
      <c r="J84" s="173" t="s">
        <v>557</v>
      </c>
      <c r="K84" s="176">
        <v>10.75</v>
      </c>
      <c r="L84" s="308" t="s">
        <v>556</v>
      </c>
    </row>
    <row r="85" spans="1:12" ht="8.25" customHeight="1">
      <c r="A85" s="309"/>
      <c r="B85" s="309"/>
      <c r="C85" s="309"/>
      <c r="D85" s="309"/>
      <c r="E85" s="309"/>
      <c r="F85" s="173" t="s">
        <v>0</v>
      </c>
      <c r="G85" s="176">
        <v>16.88</v>
      </c>
      <c r="H85" s="173" t="s">
        <v>543</v>
      </c>
      <c r="I85" s="176">
        <v>354.9</v>
      </c>
      <c r="J85" s="173" t="s">
        <v>555</v>
      </c>
      <c r="K85" s="176">
        <v>16.88</v>
      </c>
      <c r="L85" s="309"/>
    </row>
    <row r="86" spans="1:12" ht="8.25" customHeight="1">
      <c r="A86" s="309"/>
      <c r="B86" s="309"/>
      <c r="C86" s="309"/>
      <c r="D86" s="309"/>
      <c r="E86" s="309"/>
      <c r="F86" s="178"/>
      <c r="G86" s="176"/>
      <c r="H86" s="173" t="s">
        <v>547</v>
      </c>
      <c r="I86" s="176">
        <v>8053.92</v>
      </c>
      <c r="J86" s="173" t="s">
        <v>554</v>
      </c>
      <c r="K86" s="176">
        <v>16.88</v>
      </c>
      <c r="L86" s="309"/>
    </row>
    <row r="87" spans="1:12" ht="8.25" customHeight="1">
      <c r="A87" s="309"/>
      <c r="B87" s="309"/>
      <c r="C87" s="309"/>
      <c r="D87" s="309"/>
      <c r="E87" s="309"/>
      <c r="F87" s="178"/>
      <c r="G87" s="176"/>
      <c r="H87" s="173" t="s">
        <v>553</v>
      </c>
      <c r="I87" s="176">
        <v>51836.4</v>
      </c>
      <c r="J87" s="173" t="s">
        <v>552</v>
      </c>
      <c r="K87" s="176">
        <v>79.38</v>
      </c>
      <c r="L87" s="309"/>
    </row>
    <row r="88" spans="1:12" ht="8.25" customHeight="1">
      <c r="A88" s="309"/>
      <c r="B88" s="309"/>
      <c r="C88" s="309"/>
      <c r="D88" s="309"/>
      <c r="E88" s="309"/>
      <c r="F88" s="178"/>
      <c r="G88" s="176"/>
      <c r="H88" s="178"/>
      <c r="I88" s="176"/>
      <c r="J88" s="173" t="s">
        <v>551</v>
      </c>
      <c r="K88" s="176">
        <v>10.5</v>
      </c>
      <c r="L88" s="309"/>
    </row>
    <row r="89" spans="1:12" ht="8.25" customHeight="1">
      <c r="A89" s="309"/>
      <c r="B89" s="309"/>
      <c r="C89" s="309"/>
      <c r="D89" s="309"/>
      <c r="E89" s="309"/>
      <c r="F89" s="178"/>
      <c r="G89" s="176"/>
      <c r="H89" s="178"/>
      <c r="I89" s="176"/>
      <c r="J89" s="173" t="s">
        <v>550</v>
      </c>
      <c r="K89" s="176">
        <v>10.67</v>
      </c>
      <c r="L89" s="309"/>
    </row>
    <row r="90" spans="1:12" ht="8.25" customHeight="1">
      <c r="A90" s="309"/>
      <c r="B90" s="309"/>
      <c r="C90" s="309"/>
      <c r="D90" s="309"/>
      <c r="E90" s="309"/>
      <c r="F90" s="178"/>
      <c r="G90" s="176"/>
      <c r="H90" s="178"/>
      <c r="I90" s="176"/>
      <c r="J90" s="173" t="s">
        <v>549</v>
      </c>
      <c r="K90" s="176">
        <v>10.67</v>
      </c>
      <c r="L90" s="309"/>
    </row>
    <row r="91" spans="1:12" ht="8.25" customHeight="1">
      <c r="A91" s="308">
        <v>27</v>
      </c>
      <c r="B91" s="308" t="s">
        <v>548</v>
      </c>
      <c r="C91" s="308">
        <v>600</v>
      </c>
      <c r="D91" s="308" t="s">
        <v>512</v>
      </c>
      <c r="E91" s="308">
        <v>7</v>
      </c>
      <c r="F91" s="173" t="s">
        <v>5</v>
      </c>
      <c r="G91" s="176">
        <v>481.92</v>
      </c>
      <c r="H91" s="173" t="s">
        <v>547</v>
      </c>
      <c r="I91" s="176">
        <v>37.270000000000003</v>
      </c>
      <c r="J91" s="173" t="s">
        <v>546</v>
      </c>
      <c r="K91" s="176">
        <v>60.24</v>
      </c>
      <c r="L91" s="312" t="s">
        <v>545</v>
      </c>
    </row>
    <row r="92" spans="1:12" ht="8.25" customHeight="1">
      <c r="A92" s="309"/>
      <c r="B92" s="309"/>
      <c r="C92" s="309"/>
      <c r="D92" s="309"/>
      <c r="E92" s="309"/>
      <c r="F92" s="173" t="s">
        <v>504</v>
      </c>
      <c r="G92" s="176">
        <v>301.2</v>
      </c>
      <c r="H92" s="173" t="s">
        <v>138</v>
      </c>
      <c r="I92" s="176">
        <v>4.1399999999999997</v>
      </c>
      <c r="J92" s="173" t="s">
        <v>544</v>
      </c>
      <c r="K92" s="176">
        <v>205.74</v>
      </c>
      <c r="L92" s="309"/>
    </row>
    <row r="93" spans="1:12" ht="8.25" customHeight="1">
      <c r="A93" s="309"/>
      <c r="B93" s="309"/>
      <c r="C93" s="309"/>
      <c r="D93" s="309"/>
      <c r="E93" s="309"/>
      <c r="F93" s="173" t="s">
        <v>0</v>
      </c>
      <c r="G93" s="176">
        <v>60.24</v>
      </c>
      <c r="H93" s="173" t="s">
        <v>543</v>
      </c>
      <c r="I93" s="176">
        <v>22.92</v>
      </c>
      <c r="J93" s="173" t="s">
        <v>542</v>
      </c>
      <c r="K93" s="176">
        <v>22.92</v>
      </c>
      <c r="L93" s="309"/>
    </row>
    <row r="94" spans="1:12" ht="8.25" customHeight="1">
      <c r="A94" s="309"/>
      <c r="B94" s="309"/>
      <c r="C94" s="309"/>
      <c r="D94" s="309"/>
      <c r="E94" s="309"/>
      <c r="F94" s="178"/>
      <c r="G94" s="178"/>
      <c r="H94" s="173" t="s">
        <v>541</v>
      </c>
      <c r="I94" s="176">
        <v>60.24</v>
      </c>
      <c r="J94" s="173" t="s">
        <v>540</v>
      </c>
      <c r="K94" s="176">
        <v>60.24</v>
      </c>
      <c r="L94" s="309"/>
    </row>
    <row r="95" spans="1:12" ht="8.25" customHeight="1">
      <c r="A95" s="309"/>
      <c r="B95" s="309"/>
      <c r="C95" s="309"/>
      <c r="D95" s="309"/>
      <c r="E95" s="309"/>
      <c r="F95" s="178"/>
      <c r="G95" s="178"/>
      <c r="H95" s="173" t="s">
        <v>539</v>
      </c>
      <c r="I95" s="176">
        <v>6</v>
      </c>
      <c r="J95" s="178"/>
      <c r="K95" s="178"/>
      <c r="L95" s="309"/>
    </row>
    <row r="96" spans="1:12" ht="8.25" customHeight="1">
      <c r="A96" s="182">
        <v>28</v>
      </c>
      <c r="B96" s="181" t="s">
        <v>538</v>
      </c>
      <c r="C96" s="181"/>
      <c r="D96" s="181"/>
      <c r="E96" s="181"/>
      <c r="F96" s="181"/>
      <c r="G96" s="181"/>
      <c r="H96" s="181"/>
      <c r="I96" s="181"/>
      <c r="J96" s="181"/>
      <c r="K96" s="181"/>
      <c r="L96" s="181"/>
    </row>
    <row r="97" spans="1:15" ht="9" customHeight="1">
      <c r="A97" s="308">
        <v>29</v>
      </c>
      <c r="B97" s="312" t="s">
        <v>537</v>
      </c>
      <c r="C97" s="308">
        <v>3000</v>
      </c>
      <c r="D97" s="308" t="s">
        <v>536</v>
      </c>
      <c r="E97" s="308">
        <v>2</v>
      </c>
      <c r="F97" s="173" t="s">
        <v>5</v>
      </c>
      <c r="G97" s="176">
        <v>120.6</v>
      </c>
      <c r="H97" s="173" t="s">
        <v>535</v>
      </c>
      <c r="I97" s="176">
        <v>11992.5</v>
      </c>
      <c r="J97" s="173" t="s">
        <v>534</v>
      </c>
      <c r="K97" s="176">
        <v>60.3</v>
      </c>
      <c r="L97" s="312" t="s">
        <v>533</v>
      </c>
      <c r="N97" s="171">
        <v>5297.46</v>
      </c>
      <c r="O97" s="170">
        <f t="shared" ref="O97:O119" si="0">ROUND(N97,2)</f>
        <v>5297.46</v>
      </c>
    </row>
    <row r="98" spans="1:15" ht="8.25" customHeight="1">
      <c r="A98" s="309"/>
      <c r="B98" s="309"/>
      <c r="C98" s="309"/>
      <c r="D98" s="309"/>
      <c r="E98" s="309"/>
      <c r="F98" s="173" t="s">
        <v>504</v>
      </c>
      <c r="G98" s="176">
        <v>60.3</v>
      </c>
      <c r="H98" s="173" t="s">
        <v>532</v>
      </c>
      <c r="I98" s="176">
        <v>1383.9</v>
      </c>
      <c r="J98" s="173" t="s">
        <v>516</v>
      </c>
      <c r="K98" s="176">
        <v>7.5</v>
      </c>
      <c r="L98" s="309"/>
      <c r="N98" s="177"/>
      <c r="O98" s="170">
        <f t="shared" si="0"/>
        <v>0</v>
      </c>
    </row>
    <row r="99" spans="1:15" ht="8.25" customHeight="1">
      <c r="A99" s="309"/>
      <c r="B99" s="309"/>
      <c r="C99" s="309"/>
      <c r="D99" s="309"/>
      <c r="E99" s="309"/>
      <c r="F99" s="173" t="s">
        <v>0</v>
      </c>
      <c r="G99" s="176">
        <v>0</v>
      </c>
      <c r="H99" s="178"/>
      <c r="I99" s="176"/>
      <c r="J99" s="173" t="s">
        <v>531</v>
      </c>
      <c r="K99" s="176">
        <v>6</v>
      </c>
      <c r="L99" s="309"/>
      <c r="N99" s="177"/>
      <c r="O99" s="170">
        <f t="shared" si="0"/>
        <v>0</v>
      </c>
    </row>
    <row r="100" spans="1:15" ht="8.25" customHeight="1">
      <c r="A100" s="309"/>
      <c r="B100" s="309"/>
      <c r="C100" s="309"/>
      <c r="D100" s="309"/>
      <c r="E100" s="309"/>
      <c r="F100" s="178"/>
      <c r="G100" s="176">
        <v>0</v>
      </c>
      <c r="H100" s="178"/>
      <c r="I100" s="176"/>
      <c r="J100" s="173" t="s">
        <v>530</v>
      </c>
      <c r="K100" s="176">
        <v>3000</v>
      </c>
      <c r="L100" s="309"/>
      <c r="N100" s="177"/>
      <c r="O100" s="170">
        <f t="shared" si="0"/>
        <v>0</v>
      </c>
    </row>
    <row r="101" spans="1:15" ht="9.75" customHeight="1">
      <c r="A101" s="169">
        <v>30</v>
      </c>
      <c r="B101" s="169" t="s">
        <v>529</v>
      </c>
      <c r="C101" s="169">
        <v>1</v>
      </c>
      <c r="D101" s="169" t="s">
        <v>528</v>
      </c>
      <c r="E101" s="169">
        <v>1</v>
      </c>
      <c r="F101" s="166"/>
      <c r="G101" s="176">
        <v>0</v>
      </c>
      <c r="H101" s="173" t="s">
        <v>527</v>
      </c>
      <c r="I101" s="176">
        <v>1</v>
      </c>
      <c r="J101" s="166"/>
      <c r="K101" s="176"/>
      <c r="L101" s="180" t="s">
        <v>444</v>
      </c>
      <c r="N101" s="171">
        <v>773.4</v>
      </c>
      <c r="O101" s="170">
        <f t="shared" si="0"/>
        <v>773.4</v>
      </c>
    </row>
    <row r="102" spans="1:15" ht="8.25" customHeight="1">
      <c r="A102" s="308">
        <v>31</v>
      </c>
      <c r="B102" s="312" t="s">
        <v>526</v>
      </c>
      <c r="C102" s="308">
        <v>60</v>
      </c>
      <c r="D102" s="308" t="s">
        <v>507</v>
      </c>
      <c r="E102" s="308">
        <v>1</v>
      </c>
      <c r="F102" s="173" t="s">
        <v>5</v>
      </c>
      <c r="G102" s="176">
        <v>30.6</v>
      </c>
      <c r="H102" s="173" t="s">
        <v>525</v>
      </c>
      <c r="I102" s="176">
        <v>60</v>
      </c>
      <c r="J102" s="173" t="s">
        <v>524</v>
      </c>
      <c r="K102" s="176">
        <v>5.0999999999999996</v>
      </c>
      <c r="L102" s="312" t="s">
        <v>523</v>
      </c>
      <c r="N102" s="179">
        <v>1.1519999999999999</v>
      </c>
      <c r="O102" s="170">
        <f t="shared" si="0"/>
        <v>1.1499999999999999</v>
      </c>
    </row>
    <row r="103" spans="1:15" ht="8.25" customHeight="1">
      <c r="A103" s="309"/>
      <c r="B103" s="309"/>
      <c r="C103" s="309"/>
      <c r="D103" s="309"/>
      <c r="E103" s="309"/>
      <c r="F103" s="173" t="s">
        <v>504</v>
      </c>
      <c r="G103" s="176">
        <v>5.0999999999999996</v>
      </c>
      <c r="H103" s="173" t="s">
        <v>522</v>
      </c>
      <c r="I103" s="176">
        <v>60</v>
      </c>
      <c r="J103" s="178"/>
      <c r="K103" s="176"/>
      <c r="L103" s="309"/>
      <c r="N103" s="179">
        <v>16.926000000000002</v>
      </c>
      <c r="O103" s="170">
        <f t="shared" si="0"/>
        <v>16.93</v>
      </c>
    </row>
    <row r="104" spans="1:15" ht="8.25" customHeight="1">
      <c r="A104" s="309"/>
      <c r="B104" s="309"/>
      <c r="C104" s="309"/>
      <c r="D104" s="309"/>
      <c r="E104" s="309"/>
      <c r="F104" s="173" t="s">
        <v>0</v>
      </c>
      <c r="G104" s="176">
        <v>5.0999999999999996</v>
      </c>
      <c r="H104" s="173" t="s">
        <v>506</v>
      </c>
      <c r="I104" s="176">
        <v>0.96</v>
      </c>
      <c r="J104" s="178"/>
      <c r="K104" s="176"/>
      <c r="L104" s="309"/>
      <c r="N104" s="179">
        <v>0.64710000000000001</v>
      </c>
      <c r="O104" s="170">
        <f t="shared" si="0"/>
        <v>0.65</v>
      </c>
    </row>
    <row r="105" spans="1:15" ht="8.25" customHeight="1">
      <c r="A105" s="308">
        <v>32</v>
      </c>
      <c r="B105" s="308" t="s">
        <v>521</v>
      </c>
      <c r="C105" s="308">
        <v>120</v>
      </c>
      <c r="D105" s="308" t="s">
        <v>517</v>
      </c>
      <c r="E105" s="308">
        <v>2</v>
      </c>
      <c r="F105" s="173" t="s">
        <v>5</v>
      </c>
      <c r="G105" s="176">
        <v>86.45</v>
      </c>
      <c r="H105" s="173" t="s">
        <v>506</v>
      </c>
      <c r="I105" s="176">
        <v>4.7300000000000004</v>
      </c>
      <c r="J105" s="173" t="s">
        <v>516</v>
      </c>
      <c r="K105" s="176">
        <v>10.81</v>
      </c>
      <c r="L105" s="312" t="s">
        <v>520</v>
      </c>
      <c r="N105" s="179">
        <v>50.204699999999995</v>
      </c>
      <c r="O105" s="170">
        <f t="shared" si="0"/>
        <v>50.2</v>
      </c>
    </row>
    <row r="106" spans="1:15" ht="8.25" customHeight="1">
      <c r="A106" s="309"/>
      <c r="B106" s="309"/>
      <c r="C106" s="309"/>
      <c r="D106" s="309"/>
      <c r="E106" s="309"/>
      <c r="F106" s="173" t="s">
        <v>504</v>
      </c>
      <c r="G106" s="176">
        <v>43.22</v>
      </c>
      <c r="H106" s="173" t="s">
        <v>514</v>
      </c>
      <c r="I106" s="176">
        <v>513.84</v>
      </c>
      <c r="J106" s="178"/>
      <c r="K106" s="176"/>
      <c r="L106" s="309"/>
      <c r="N106" s="179">
        <v>0.99180000000000001</v>
      </c>
      <c r="O106" s="170">
        <f t="shared" si="0"/>
        <v>0.99</v>
      </c>
    </row>
    <row r="107" spans="1:15" ht="8.25" customHeight="1">
      <c r="A107" s="309"/>
      <c r="B107" s="309"/>
      <c r="C107" s="309"/>
      <c r="D107" s="309"/>
      <c r="E107" s="309"/>
      <c r="F107" s="173" t="s">
        <v>0</v>
      </c>
      <c r="G107" s="176">
        <v>10.81</v>
      </c>
      <c r="H107" s="173" t="s">
        <v>519</v>
      </c>
      <c r="I107" s="176">
        <v>6.05</v>
      </c>
      <c r="J107" s="178"/>
      <c r="K107" s="176"/>
      <c r="L107" s="309"/>
      <c r="N107" s="179">
        <v>6.1685999999999996</v>
      </c>
      <c r="O107" s="170">
        <f t="shared" si="0"/>
        <v>6.17</v>
      </c>
    </row>
    <row r="108" spans="1:15" ht="8.25" customHeight="1">
      <c r="A108" s="308">
        <v>33</v>
      </c>
      <c r="B108" s="308" t="s">
        <v>518</v>
      </c>
      <c r="C108" s="308">
        <v>3</v>
      </c>
      <c r="D108" s="308" t="s">
        <v>517</v>
      </c>
      <c r="E108" s="308">
        <v>1</v>
      </c>
      <c r="F108" s="173" t="s">
        <v>5</v>
      </c>
      <c r="G108" s="176">
        <v>1.6</v>
      </c>
      <c r="H108" s="173" t="s">
        <v>506</v>
      </c>
      <c r="I108" s="176">
        <v>0.43</v>
      </c>
      <c r="J108" s="173" t="s">
        <v>516</v>
      </c>
      <c r="K108" s="176">
        <v>0.53</v>
      </c>
      <c r="L108" s="308" t="s">
        <v>515</v>
      </c>
      <c r="N108" s="179">
        <v>9</v>
      </c>
      <c r="O108" s="170">
        <f t="shared" si="0"/>
        <v>9</v>
      </c>
    </row>
    <row r="109" spans="1:15" ht="8.25" customHeight="1">
      <c r="A109" s="309"/>
      <c r="B109" s="309"/>
      <c r="C109" s="309"/>
      <c r="D109" s="309"/>
      <c r="E109" s="309"/>
      <c r="F109" s="173" t="s">
        <v>504</v>
      </c>
      <c r="G109" s="176">
        <v>0.53</v>
      </c>
      <c r="H109" s="173" t="s">
        <v>514</v>
      </c>
      <c r="I109" s="176">
        <v>22.03</v>
      </c>
      <c r="J109" s="178"/>
      <c r="K109" s="176"/>
      <c r="L109" s="309"/>
      <c r="N109" s="179">
        <v>8.1638999999999999</v>
      </c>
      <c r="O109" s="170">
        <f t="shared" si="0"/>
        <v>8.16</v>
      </c>
    </row>
    <row r="110" spans="1:15" ht="8.25" customHeight="1">
      <c r="A110" s="309"/>
      <c r="B110" s="309"/>
      <c r="C110" s="309"/>
      <c r="D110" s="309"/>
      <c r="E110" s="309"/>
      <c r="F110" s="173" t="s">
        <v>0</v>
      </c>
      <c r="G110" s="176">
        <v>0.53</v>
      </c>
      <c r="H110" s="178"/>
      <c r="I110" s="176"/>
      <c r="J110" s="178"/>
      <c r="K110" s="176"/>
      <c r="L110" s="309"/>
      <c r="N110" s="179">
        <v>3.3300000000000003E-2</v>
      </c>
      <c r="O110" s="170">
        <f t="shared" si="0"/>
        <v>0.03</v>
      </c>
    </row>
    <row r="111" spans="1:15" ht="8.25" customHeight="1">
      <c r="A111" s="308">
        <v>34</v>
      </c>
      <c r="B111" s="312" t="s">
        <v>513</v>
      </c>
      <c r="C111" s="308">
        <v>900</v>
      </c>
      <c r="D111" s="308" t="s">
        <v>512</v>
      </c>
      <c r="E111" s="308">
        <v>2</v>
      </c>
      <c r="F111" s="173" t="s">
        <v>5</v>
      </c>
      <c r="G111" s="176">
        <v>459</v>
      </c>
      <c r="H111" s="173" t="s">
        <v>511</v>
      </c>
      <c r="I111" s="176">
        <v>47.25</v>
      </c>
      <c r="J111" s="173" t="s">
        <v>505</v>
      </c>
      <c r="K111" s="176">
        <v>159.57</v>
      </c>
      <c r="L111" s="312" t="s">
        <v>510</v>
      </c>
      <c r="N111" s="163">
        <v>159.57000000000002</v>
      </c>
      <c r="O111" s="170">
        <f t="shared" si="0"/>
        <v>159.57</v>
      </c>
    </row>
    <row r="112" spans="1:15" ht="8.25" customHeight="1">
      <c r="A112" s="309"/>
      <c r="B112" s="309"/>
      <c r="C112" s="309"/>
      <c r="D112" s="309"/>
      <c r="E112" s="309"/>
      <c r="F112" s="173" t="s">
        <v>504</v>
      </c>
      <c r="G112" s="176">
        <v>117</v>
      </c>
      <c r="H112" s="173" t="s">
        <v>509</v>
      </c>
      <c r="I112" s="176">
        <v>6.75</v>
      </c>
      <c r="J112" s="178"/>
      <c r="K112" s="176"/>
      <c r="L112" s="309"/>
      <c r="N112" s="177"/>
      <c r="O112" s="170">
        <f t="shared" si="0"/>
        <v>0</v>
      </c>
    </row>
    <row r="113" spans="1:15" ht="8.25" customHeight="1">
      <c r="A113" s="309"/>
      <c r="B113" s="309"/>
      <c r="C113" s="309"/>
      <c r="D113" s="309"/>
      <c r="E113" s="309"/>
      <c r="F113" s="173" t="s">
        <v>0</v>
      </c>
      <c r="G113" s="176">
        <v>54</v>
      </c>
      <c r="H113" s="178"/>
      <c r="I113" s="176"/>
      <c r="J113" s="178"/>
      <c r="K113" s="176"/>
      <c r="L113" s="309"/>
      <c r="N113" s="177"/>
      <c r="O113" s="170">
        <f t="shared" si="0"/>
        <v>0</v>
      </c>
    </row>
    <row r="114" spans="1:15" ht="8.25" customHeight="1">
      <c r="A114" s="314">
        <v>35</v>
      </c>
      <c r="B114" s="314" t="s">
        <v>508</v>
      </c>
      <c r="C114" s="314">
        <v>75</v>
      </c>
      <c r="D114" s="314" t="s">
        <v>507</v>
      </c>
      <c r="E114" s="314">
        <v>2</v>
      </c>
      <c r="F114" s="173" t="s">
        <v>5</v>
      </c>
      <c r="G114" s="176">
        <v>74.53</v>
      </c>
      <c r="H114" s="173" t="s">
        <v>506</v>
      </c>
      <c r="I114" s="176">
        <v>54</v>
      </c>
      <c r="J114" s="173" t="s">
        <v>505</v>
      </c>
      <c r="K114" s="176">
        <v>2.25</v>
      </c>
      <c r="L114" s="315" t="s">
        <v>437</v>
      </c>
      <c r="N114" s="163">
        <v>2.25</v>
      </c>
      <c r="O114" s="170">
        <f t="shared" si="0"/>
        <v>2.25</v>
      </c>
    </row>
    <row r="115" spans="1:15" ht="8.25" customHeight="1">
      <c r="A115" s="309"/>
      <c r="B115" s="309"/>
      <c r="C115" s="309"/>
      <c r="D115" s="309"/>
      <c r="E115" s="309"/>
      <c r="F115" s="173" t="s">
        <v>504</v>
      </c>
      <c r="G115" s="176">
        <v>37.270000000000003</v>
      </c>
      <c r="H115" s="173" t="s">
        <v>503</v>
      </c>
      <c r="I115" s="176">
        <v>825</v>
      </c>
      <c r="J115" s="173" t="s">
        <v>502</v>
      </c>
      <c r="K115" s="176">
        <v>1.1399999999999999</v>
      </c>
      <c r="L115" s="309"/>
      <c r="N115" s="163">
        <v>1.1399999999999999</v>
      </c>
      <c r="O115" s="170">
        <f t="shared" si="0"/>
        <v>1.1399999999999999</v>
      </c>
    </row>
    <row r="116" spans="1:15" ht="11.4" customHeight="1">
      <c r="A116" s="309"/>
      <c r="B116" s="309"/>
      <c r="C116" s="309"/>
      <c r="D116" s="309"/>
      <c r="E116" s="309"/>
      <c r="F116" s="173" t="s">
        <v>0</v>
      </c>
      <c r="G116" s="176">
        <v>4.1399999999999997</v>
      </c>
      <c r="H116" s="173" t="s">
        <v>501</v>
      </c>
      <c r="I116" s="176">
        <v>75</v>
      </c>
      <c r="J116" s="172"/>
      <c r="K116" s="172"/>
      <c r="L116" s="309"/>
      <c r="N116" s="171">
        <v>75</v>
      </c>
      <c r="O116" s="170">
        <f t="shared" si="0"/>
        <v>75</v>
      </c>
    </row>
    <row r="117" spans="1:15" ht="8.25" customHeight="1">
      <c r="A117" s="175">
        <v>36</v>
      </c>
      <c r="B117" s="174" t="s">
        <v>500</v>
      </c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N117" s="171">
        <v>22.919999999999998</v>
      </c>
      <c r="O117" s="170">
        <f t="shared" si="0"/>
        <v>22.92</v>
      </c>
    </row>
    <row r="118" spans="1:15" ht="12.75" customHeight="1">
      <c r="A118" s="169">
        <v>37</v>
      </c>
      <c r="B118" s="173" t="s">
        <v>499</v>
      </c>
      <c r="C118" s="169">
        <v>1</v>
      </c>
      <c r="D118" s="165" t="s">
        <v>125</v>
      </c>
      <c r="E118" s="169">
        <v>1</v>
      </c>
      <c r="F118" s="172"/>
      <c r="G118" s="172"/>
      <c r="H118" s="168" t="s">
        <v>498</v>
      </c>
      <c r="I118" s="167">
        <v>1</v>
      </c>
      <c r="J118" s="172"/>
      <c r="K118" s="172"/>
      <c r="L118" s="165" t="s">
        <v>434</v>
      </c>
      <c r="N118" s="171">
        <v>60.24</v>
      </c>
      <c r="O118" s="170">
        <f t="shared" si="0"/>
        <v>60.24</v>
      </c>
    </row>
    <row r="119" spans="1:15" ht="12.75" customHeight="1">
      <c r="A119" s="169">
        <v>38</v>
      </c>
      <c r="B119" s="173" t="s">
        <v>497</v>
      </c>
      <c r="C119" s="169">
        <v>1</v>
      </c>
      <c r="D119" s="165" t="s">
        <v>125</v>
      </c>
      <c r="E119" s="169">
        <v>1</v>
      </c>
      <c r="F119" s="172"/>
      <c r="G119" s="172"/>
      <c r="H119" s="168" t="s">
        <v>496</v>
      </c>
      <c r="I119" s="167">
        <v>1</v>
      </c>
      <c r="J119" s="172"/>
      <c r="K119" s="172"/>
      <c r="L119" s="165" t="s">
        <v>430</v>
      </c>
      <c r="N119" s="171">
        <v>6</v>
      </c>
      <c r="O119" s="170">
        <f t="shared" si="0"/>
        <v>6</v>
      </c>
    </row>
    <row r="120" spans="1:15" ht="12.75" customHeight="1">
      <c r="A120" s="169">
        <v>39</v>
      </c>
      <c r="B120" s="166" t="s">
        <v>495</v>
      </c>
      <c r="C120" s="169">
        <v>1</v>
      </c>
      <c r="D120" s="165" t="s">
        <v>125</v>
      </c>
      <c r="E120" s="169">
        <v>1</v>
      </c>
      <c r="F120" s="166"/>
      <c r="G120" s="166"/>
      <c r="H120" s="168" t="s">
        <v>494</v>
      </c>
      <c r="I120" s="167">
        <v>1</v>
      </c>
      <c r="J120" s="166"/>
      <c r="K120" s="166"/>
      <c r="L120" s="165" t="s">
        <v>493</v>
      </c>
    </row>
    <row r="121" spans="1:15" ht="12.75" customHeight="1"/>
    <row r="122" spans="1:15" ht="12.75" customHeight="1"/>
    <row r="123" spans="1:15" ht="12.75" customHeight="1"/>
    <row r="124" spans="1:15" ht="12.75" customHeight="1"/>
    <row r="125" spans="1:15" ht="12.75" customHeight="1"/>
    <row r="126" spans="1:15" ht="12.75" customHeight="1"/>
    <row r="127" spans="1:15" ht="12.75" customHeight="1"/>
    <row r="128" spans="1:15" ht="12.75" customHeight="1"/>
    <row r="129" s="164" customFormat="1" ht="12.75" customHeight="1"/>
    <row r="130" s="164" customFormat="1" ht="12.75" customHeight="1"/>
    <row r="131" s="164" customFormat="1" ht="12.75" customHeight="1"/>
    <row r="132" s="164" customFormat="1" ht="12.75" customHeight="1"/>
    <row r="133" s="164" customFormat="1" ht="12.75" customHeight="1"/>
    <row r="134" s="164" customFormat="1" ht="12.75" customHeight="1"/>
    <row r="135" s="164" customFormat="1" ht="12.75" customHeight="1"/>
    <row r="136" s="164" customFormat="1" ht="12.75" customHeight="1"/>
    <row r="137" s="164" customFormat="1" ht="12.75" customHeight="1"/>
    <row r="138" s="164" customFormat="1" ht="12.75" customHeight="1"/>
    <row r="139" s="164" customFormat="1" ht="12.75" customHeight="1"/>
    <row r="140" s="164" customFormat="1" ht="12.75" customHeight="1"/>
    <row r="141" s="164" customFormat="1" ht="12.75" customHeight="1"/>
    <row r="142" s="164" customFormat="1" ht="12.75" customHeight="1"/>
    <row r="143" s="164" customFormat="1" ht="12.75" customHeight="1"/>
    <row r="144" s="164" customFormat="1" ht="12.75" customHeight="1"/>
    <row r="145" s="164" customFormat="1" ht="12.75" customHeight="1"/>
    <row r="146" s="164" customFormat="1" ht="12.75" customHeight="1"/>
    <row r="147" s="164" customFormat="1" ht="12.75" customHeight="1"/>
    <row r="148" s="164" customFormat="1" ht="12.75" customHeight="1"/>
    <row r="149" s="164" customFormat="1" ht="12.75" customHeight="1"/>
    <row r="150" s="164" customFormat="1" ht="12.75" customHeight="1"/>
    <row r="151" s="164" customFormat="1" ht="12.75" customHeight="1"/>
    <row r="152" s="164" customFormat="1" ht="12.75" customHeight="1"/>
    <row r="153" s="164" customFormat="1" ht="12.75" customHeight="1"/>
    <row r="154" s="164" customFormat="1" ht="12.75" customHeight="1"/>
    <row r="155" s="164" customFormat="1" ht="12.75" customHeight="1"/>
    <row r="156" s="164" customFormat="1" ht="12.75" customHeight="1"/>
    <row r="157" s="164" customFormat="1" ht="12.75" customHeight="1"/>
    <row r="158" s="164" customFormat="1" ht="12.75" customHeight="1"/>
    <row r="159" s="164" customFormat="1" ht="12.75" customHeight="1"/>
    <row r="160" s="164" customFormat="1" ht="12.75" customHeight="1"/>
    <row r="161" s="164" customFormat="1" ht="12.75" customHeight="1"/>
    <row r="162" s="164" customFormat="1" ht="12.75" customHeight="1"/>
    <row r="163" s="164" customFormat="1" ht="12.75" customHeight="1"/>
    <row r="164" s="164" customFormat="1" ht="12.75" customHeight="1"/>
    <row r="165" s="164" customFormat="1" ht="12.75" customHeight="1"/>
    <row r="166" s="164" customFormat="1" ht="12.75" customHeight="1"/>
    <row r="167" s="164" customFormat="1" ht="12.75" customHeight="1"/>
    <row r="168" s="164" customFormat="1" ht="12.75" customHeight="1"/>
    <row r="169" s="164" customFormat="1" ht="12.75" customHeight="1"/>
    <row r="170" s="164" customFormat="1" ht="12.75" customHeight="1"/>
    <row r="171" s="164" customFormat="1" ht="12.75" customHeight="1"/>
    <row r="172" s="164" customFormat="1" ht="12.75" customHeight="1"/>
    <row r="173" s="164" customFormat="1" ht="12.75" customHeight="1"/>
    <row r="174" s="164" customFormat="1" ht="12.75" customHeight="1"/>
    <row r="175" s="164" customFormat="1" ht="12.75" customHeight="1"/>
    <row r="176" s="164" customFormat="1" ht="12.75" customHeight="1"/>
    <row r="177" s="164" customFormat="1" ht="12.75" customHeight="1"/>
    <row r="178" s="164" customFormat="1" ht="12.75" customHeight="1"/>
    <row r="179" s="164" customFormat="1" ht="12.75" customHeight="1"/>
    <row r="180" s="164" customFormat="1" ht="12.75" customHeight="1"/>
    <row r="181" s="164" customFormat="1" ht="12.75" customHeight="1"/>
    <row r="182" s="164" customFormat="1" ht="12.75" customHeight="1"/>
    <row r="183" s="164" customFormat="1" ht="12.75" customHeight="1"/>
    <row r="184" s="164" customFormat="1" ht="12.75" customHeight="1"/>
    <row r="185" s="164" customFormat="1" ht="12.75" customHeight="1"/>
    <row r="186" s="164" customFormat="1" ht="12.75" customHeight="1"/>
    <row r="187" s="164" customFormat="1" ht="12.75" customHeight="1"/>
    <row r="188" s="164" customFormat="1" ht="12.75" customHeight="1"/>
    <row r="189" s="164" customFormat="1" ht="12.75" customHeight="1"/>
    <row r="190" s="164" customFormat="1" ht="12.75" customHeight="1"/>
    <row r="191" s="164" customFormat="1" ht="12.75" customHeight="1"/>
    <row r="192" s="164" customFormat="1" ht="12.75" customHeight="1"/>
    <row r="193" s="164" customFormat="1" ht="12.75" customHeight="1"/>
    <row r="194" s="164" customFormat="1" ht="12.75" customHeight="1"/>
    <row r="195" s="164" customFormat="1" ht="12.75" customHeight="1"/>
    <row r="196" s="164" customFormat="1" ht="12.75" customHeight="1"/>
    <row r="197" s="164" customFormat="1" ht="12.75" customHeight="1"/>
    <row r="198" s="164" customFormat="1" ht="12.75" customHeight="1"/>
    <row r="199" s="164" customFormat="1" ht="12.75" customHeight="1"/>
    <row r="200" s="164" customFormat="1" ht="12.75" customHeight="1"/>
    <row r="201" s="164" customFormat="1" ht="12.75" customHeight="1"/>
    <row r="202" s="164" customFormat="1" ht="12.75" customHeight="1"/>
    <row r="203" s="164" customFormat="1" ht="12.75" customHeight="1"/>
    <row r="204" s="164" customFormat="1" ht="12.75" customHeight="1"/>
    <row r="205" s="164" customFormat="1" ht="12.75" customHeight="1"/>
    <row r="206" s="164" customFormat="1" ht="12.75" customHeight="1"/>
    <row r="207" s="164" customFormat="1" ht="12.75" customHeight="1"/>
    <row r="208" s="164" customFormat="1" ht="12.75" customHeight="1"/>
    <row r="209" s="164" customFormat="1" ht="12.75" customHeight="1"/>
    <row r="210" s="164" customFormat="1" ht="12.75" customHeight="1"/>
    <row r="211" s="164" customFormat="1" ht="12.75" customHeight="1"/>
    <row r="212" s="164" customFormat="1" ht="12.75" customHeight="1"/>
    <row r="213" s="164" customFormat="1" ht="12.75" customHeight="1"/>
    <row r="214" s="164" customFormat="1" ht="12.75" customHeight="1"/>
    <row r="215" s="164" customFormat="1" ht="12.75" customHeight="1"/>
    <row r="216" s="164" customFormat="1" ht="12.75" customHeight="1"/>
    <row r="217" s="164" customFormat="1" ht="12.75" customHeight="1"/>
    <row r="218" s="164" customFormat="1" ht="12.75" customHeight="1"/>
    <row r="219" s="164" customFormat="1" ht="12.75" customHeight="1"/>
    <row r="220" s="164" customFormat="1" ht="12.75" customHeight="1"/>
    <row r="221" s="164" customFormat="1" ht="12.75" customHeight="1"/>
    <row r="222" s="164" customFormat="1" ht="12.75" customHeight="1"/>
    <row r="223" s="164" customFormat="1" ht="12.75" customHeight="1"/>
    <row r="224" s="164" customFormat="1" ht="12.75" customHeight="1"/>
    <row r="225" s="164" customFormat="1" ht="12.75" customHeight="1"/>
    <row r="226" s="164" customFormat="1" ht="12.75" customHeight="1"/>
    <row r="227" s="164" customFormat="1" ht="12.75" customHeight="1"/>
    <row r="228" s="164" customFormat="1" ht="12.75" customHeight="1"/>
    <row r="229" s="164" customFormat="1" ht="12.75" customHeight="1"/>
    <row r="230" s="164" customFormat="1" ht="12.75" customHeight="1"/>
    <row r="231" s="164" customFormat="1" ht="12.75" customHeight="1"/>
    <row r="232" s="164" customFormat="1" ht="12.75" customHeight="1"/>
    <row r="233" s="164" customFormat="1" ht="12.75" customHeight="1"/>
    <row r="234" s="164" customFormat="1" ht="12.75" customHeight="1"/>
    <row r="235" s="164" customFormat="1" ht="12.75" customHeight="1"/>
    <row r="236" s="164" customFormat="1" ht="12.75" customHeight="1"/>
    <row r="237" s="164" customFormat="1" ht="12.75" customHeight="1"/>
    <row r="238" s="164" customFormat="1" ht="12.75" customHeight="1"/>
    <row r="239" s="164" customFormat="1" ht="12.75" customHeight="1"/>
    <row r="240" s="164" customFormat="1" ht="12.75" customHeight="1"/>
    <row r="241" s="164" customFormat="1" ht="12.75" customHeight="1"/>
    <row r="242" s="164" customFormat="1" ht="12.75" customHeight="1"/>
    <row r="243" s="164" customFormat="1" ht="12.75" customHeight="1"/>
    <row r="244" s="164" customFormat="1" ht="12.75" customHeight="1"/>
    <row r="245" s="164" customFormat="1" ht="12.75" customHeight="1"/>
    <row r="246" s="164" customFormat="1" ht="12.75" customHeight="1"/>
    <row r="247" s="164" customFormat="1" ht="12.75" customHeight="1"/>
    <row r="248" s="164" customFormat="1" ht="12.75" customHeight="1"/>
    <row r="249" s="164" customFormat="1" ht="12.75" customHeight="1"/>
    <row r="250" s="164" customFormat="1" ht="12.75" customHeight="1"/>
    <row r="251" s="164" customFormat="1" ht="12.75" customHeight="1"/>
    <row r="252" s="164" customFormat="1" ht="12.75" customHeight="1"/>
    <row r="253" s="164" customFormat="1" ht="12.75" customHeight="1"/>
    <row r="254" s="164" customFormat="1" ht="12.75" customHeight="1"/>
    <row r="255" s="164" customFormat="1" ht="12.75" customHeight="1"/>
    <row r="256" s="164" customFormat="1" ht="12.75" customHeight="1"/>
    <row r="257" s="164" customFormat="1" ht="12.75" customHeight="1"/>
    <row r="258" s="164" customFormat="1" ht="12.75" customHeight="1"/>
    <row r="259" s="164" customFormat="1" ht="12.75" customHeight="1"/>
    <row r="260" s="164" customFormat="1" ht="12.75" customHeight="1"/>
    <row r="261" s="164" customFormat="1" ht="12.75" customHeight="1"/>
    <row r="262" s="164" customFormat="1" ht="12.75" customHeight="1"/>
    <row r="263" s="164" customFormat="1" ht="12.75" customHeight="1"/>
    <row r="264" s="164" customFormat="1" ht="12.75" customHeight="1"/>
    <row r="265" s="164" customFormat="1" ht="12.75" customHeight="1"/>
    <row r="266" s="164" customFormat="1" ht="12.75" customHeight="1"/>
    <row r="267" s="164" customFormat="1" ht="12.75" customHeight="1"/>
    <row r="268" s="164" customFormat="1" ht="12.75" customHeight="1"/>
    <row r="269" s="164" customFormat="1" ht="12.75" customHeight="1"/>
    <row r="270" s="164" customFormat="1" ht="12.75" customHeight="1"/>
    <row r="271" s="164" customFormat="1" ht="12.75" customHeight="1"/>
    <row r="272" s="164" customFormat="1" ht="12.75" customHeight="1"/>
    <row r="273" s="164" customFormat="1" ht="12.75" customHeight="1"/>
    <row r="274" s="164" customFormat="1" ht="12.75" customHeight="1"/>
    <row r="275" s="164" customFormat="1" ht="12.75" customHeight="1"/>
    <row r="276" s="164" customFormat="1" ht="12.75" customHeight="1"/>
    <row r="277" s="164" customFormat="1" ht="12.75" customHeight="1"/>
    <row r="278" s="164" customFormat="1" ht="12.75" customHeight="1"/>
    <row r="279" s="164" customFormat="1" ht="12.75" customHeight="1"/>
    <row r="280" s="164" customFormat="1" ht="12.75" customHeight="1"/>
    <row r="281" s="164" customFormat="1" ht="12.75" customHeight="1"/>
    <row r="282" s="164" customFormat="1" ht="12.75" customHeight="1"/>
    <row r="283" s="164" customFormat="1" ht="12.75" customHeight="1"/>
    <row r="284" s="164" customFormat="1" ht="12.75" customHeight="1"/>
    <row r="285" s="164" customFormat="1" ht="12.75" customHeight="1"/>
    <row r="286" s="164" customFormat="1" ht="12.75" customHeight="1"/>
    <row r="287" s="164" customFormat="1" ht="12.75" customHeight="1"/>
    <row r="288" s="164" customFormat="1" ht="12.75" customHeight="1"/>
    <row r="289" s="164" customFormat="1" ht="12.75" customHeight="1"/>
    <row r="290" s="164" customFormat="1" ht="12.75" customHeight="1"/>
    <row r="291" s="164" customFormat="1" ht="12.75" customHeight="1"/>
    <row r="292" s="164" customFormat="1" ht="12.75" customHeight="1"/>
    <row r="293" s="164" customFormat="1" ht="12.75" customHeight="1"/>
    <row r="294" s="164" customFormat="1" ht="12.75" customHeight="1"/>
    <row r="295" s="164" customFormat="1" ht="12.75" customHeight="1"/>
    <row r="296" s="164" customFormat="1" ht="12.75" customHeight="1"/>
    <row r="297" s="164" customFormat="1" ht="12.75" customHeight="1"/>
    <row r="298" s="164" customFormat="1" ht="12.75" customHeight="1"/>
    <row r="299" s="164" customFormat="1" ht="12.75" customHeight="1"/>
    <row r="300" s="164" customFormat="1" ht="12.75" customHeight="1"/>
    <row r="301" s="164" customFormat="1" ht="12.75" customHeight="1"/>
    <row r="302" s="164" customFormat="1" ht="12.75" customHeight="1"/>
    <row r="303" s="164" customFormat="1" ht="12.75" customHeight="1"/>
    <row r="304" s="164" customFormat="1" ht="12.75" customHeight="1"/>
    <row r="305" s="164" customFormat="1" ht="12.75" customHeight="1"/>
    <row r="306" s="164" customFormat="1" ht="12.75" customHeight="1"/>
    <row r="307" s="164" customFormat="1" ht="12.75" customHeight="1"/>
    <row r="308" s="164" customFormat="1" ht="12.75" customHeight="1"/>
    <row r="309" s="164" customFormat="1" ht="12.75" customHeight="1"/>
    <row r="310" s="164" customFormat="1" ht="12.75" customHeight="1"/>
    <row r="311" s="164" customFormat="1" ht="12.75" customHeight="1"/>
    <row r="312" s="164" customFormat="1" ht="12.75" customHeight="1"/>
    <row r="313" s="164" customFormat="1" ht="12.75" customHeight="1"/>
    <row r="314" s="164" customFormat="1" ht="12.75" customHeight="1"/>
    <row r="315" s="164" customFormat="1" ht="12.75" customHeight="1"/>
    <row r="316" s="164" customFormat="1" ht="12.75" customHeight="1"/>
    <row r="317" s="164" customFormat="1" ht="12.75" customHeight="1"/>
    <row r="318" s="164" customFormat="1" ht="12.75" customHeight="1"/>
    <row r="319" s="164" customFormat="1" ht="12.75" customHeight="1"/>
    <row r="320" s="164" customFormat="1" ht="12.75" customHeight="1"/>
    <row r="321" s="164" customFormat="1" ht="12.75" customHeight="1"/>
    <row r="322" s="164" customFormat="1" ht="12.75" customHeight="1"/>
    <row r="323" s="164" customFormat="1" ht="12.75" customHeight="1"/>
    <row r="324" s="164" customFormat="1" ht="12.75" customHeight="1"/>
    <row r="325" s="164" customFormat="1" ht="12.75" customHeight="1"/>
    <row r="326" s="164" customFormat="1" ht="12.75" customHeight="1"/>
    <row r="327" s="164" customFormat="1" ht="12.75" customHeight="1"/>
    <row r="328" s="164" customFormat="1" ht="12.75" customHeight="1"/>
    <row r="329" s="164" customFormat="1" ht="12.75" customHeight="1"/>
    <row r="330" s="164" customFormat="1" ht="12.75" customHeight="1"/>
    <row r="331" s="164" customFormat="1" ht="12.75" customHeight="1"/>
    <row r="332" s="164" customFormat="1" ht="12.75" customHeight="1"/>
    <row r="333" s="164" customFormat="1" ht="12.75" customHeight="1"/>
    <row r="334" s="164" customFormat="1" ht="12.75" customHeight="1"/>
    <row r="335" s="164" customFormat="1" ht="12.75" customHeight="1"/>
    <row r="336" s="164" customFormat="1" ht="12.75" customHeight="1"/>
    <row r="337" s="164" customFormat="1" ht="12.75" customHeight="1"/>
    <row r="338" s="164" customFormat="1" ht="12.75" customHeight="1"/>
    <row r="339" s="164" customFormat="1" ht="12.75" customHeight="1"/>
    <row r="340" s="164" customFormat="1" ht="12.75" customHeight="1"/>
    <row r="341" s="164" customFormat="1" ht="12.75" customHeight="1"/>
    <row r="342" s="164" customFormat="1" ht="12.75" customHeight="1"/>
    <row r="343" s="164" customFormat="1" ht="12.75" customHeight="1"/>
    <row r="344" s="164" customFormat="1" ht="12.75" customHeight="1"/>
    <row r="345" s="164" customFormat="1" ht="12.75" customHeight="1"/>
    <row r="346" s="164" customFormat="1" ht="12.75" customHeight="1"/>
    <row r="347" s="164" customFormat="1" ht="12.75" customHeight="1"/>
    <row r="348" s="164" customFormat="1" ht="12.75" customHeight="1"/>
    <row r="349" s="164" customFormat="1" ht="12.75" customHeight="1"/>
    <row r="350" s="164" customFormat="1" ht="12.75" customHeight="1"/>
    <row r="351" s="164" customFormat="1" ht="12.75" customHeight="1"/>
    <row r="352" s="164" customFormat="1" ht="12.75" customHeight="1"/>
    <row r="353" s="164" customFormat="1" ht="12.75" customHeight="1"/>
    <row r="354" s="164" customFormat="1" ht="12.75" customHeight="1"/>
    <row r="355" s="164" customFormat="1" ht="12.75" customHeight="1"/>
    <row r="356" s="164" customFormat="1" ht="12.75" customHeight="1"/>
    <row r="357" s="164" customFormat="1" ht="12.75" customHeight="1"/>
    <row r="358" s="164" customFormat="1" ht="12.75" customHeight="1"/>
    <row r="359" s="164" customFormat="1" ht="12.75" customHeight="1"/>
    <row r="360" s="164" customFormat="1" ht="12.75" customHeight="1"/>
    <row r="361" s="164" customFormat="1" ht="12.75" customHeight="1"/>
    <row r="362" s="164" customFormat="1" ht="12.75" customHeight="1"/>
    <row r="363" s="164" customFormat="1" ht="12.75" customHeight="1"/>
    <row r="364" s="164" customFormat="1" ht="12.75" customHeight="1"/>
    <row r="365" s="164" customFormat="1" ht="12.75" customHeight="1"/>
    <row r="366" s="164" customFormat="1" ht="12.75" customHeight="1"/>
    <row r="367" s="164" customFormat="1" ht="12.75" customHeight="1"/>
    <row r="368" s="164" customFormat="1" ht="12.75" customHeight="1"/>
    <row r="369" s="164" customFormat="1" ht="12.75" customHeight="1"/>
    <row r="370" s="164" customFormat="1" ht="12.75" customHeight="1"/>
    <row r="371" s="164" customFormat="1" ht="12.75" customHeight="1"/>
    <row r="372" s="164" customFormat="1" ht="12.75" customHeight="1"/>
    <row r="373" s="164" customFormat="1" ht="12.75" customHeight="1"/>
    <row r="374" s="164" customFormat="1" ht="12.75" customHeight="1"/>
    <row r="375" s="164" customFormat="1" ht="12.75" customHeight="1"/>
    <row r="376" s="164" customFormat="1" ht="12.75" customHeight="1"/>
    <row r="377" s="164" customFormat="1" ht="12.75" customHeight="1"/>
    <row r="378" s="164" customFormat="1" ht="12.75" customHeight="1"/>
    <row r="379" s="164" customFormat="1" ht="12.75" customHeight="1"/>
    <row r="380" s="164" customFormat="1" ht="12.75" customHeight="1"/>
    <row r="381" s="164" customFormat="1" ht="12.75" customHeight="1"/>
    <row r="382" s="164" customFormat="1" ht="12.75" customHeight="1"/>
    <row r="383" s="164" customFormat="1" ht="12.75" customHeight="1"/>
    <row r="384" s="164" customFormat="1" ht="12.75" customHeight="1"/>
    <row r="385" s="164" customFormat="1" ht="12.75" customHeight="1"/>
    <row r="386" s="164" customFormat="1" ht="12.75" customHeight="1"/>
    <row r="387" s="164" customFormat="1" ht="12.75" customHeight="1"/>
    <row r="388" s="164" customFormat="1" ht="12.75" customHeight="1"/>
    <row r="389" s="164" customFormat="1" ht="12.75" customHeight="1"/>
    <row r="390" s="164" customFormat="1" ht="12.75" customHeight="1"/>
    <row r="391" s="164" customFormat="1" ht="12.75" customHeight="1"/>
    <row r="392" s="164" customFormat="1" ht="12.75" customHeight="1"/>
    <row r="393" s="164" customFormat="1" ht="12.75" customHeight="1"/>
    <row r="394" s="164" customFormat="1" ht="12.75" customHeight="1"/>
    <row r="395" s="164" customFormat="1" ht="12.75" customHeight="1"/>
    <row r="396" s="164" customFormat="1" ht="12.75" customHeight="1"/>
    <row r="397" s="164" customFormat="1" ht="12.75" customHeight="1"/>
    <row r="398" s="164" customFormat="1" ht="12.75" customHeight="1"/>
    <row r="399" s="164" customFormat="1" ht="12.75" customHeight="1"/>
    <row r="400" s="164" customFormat="1" ht="12.75" customHeight="1"/>
    <row r="401" s="164" customFormat="1" ht="12.75" customHeight="1"/>
    <row r="402" s="164" customFormat="1" ht="12.75" customHeight="1"/>
    <row r="403" s="164" customFormat="1" ht="12.75" customHeight="1"/>
    <row r="404" s="164" customFormat="1" ht="12.75" customHeight="1"/>
    <row r="405" s="164" customFormat="1" ht="12.75" customHeight="1"/>
    <row r="406" s="164" customFormat="1" ht="12.75" customHeight="1"/>
    <row r="407" s="164" customFormat="1" ht="12.75" customHeight="1"/>
    <row r="408" s="164" customFormat="1" ht="12.75" customHeight="1"/>
    <row r="409" s="164" customFormat="1" ht="12.75" customHeight="1"/>
    <row r="410" s="164" customFormat="1" ht="12.75" customHeight="1"/>
    <row r="411" s="164" customFormat="1" ht="12.75" customHeight="1"/>
    <row r="412" s="164" customFormat="1" ht="12.75" customHeight="1"/>
    <row r="413" s="164" customFormat="1" ht="12.75" customHeight="1"/>
    <row r="414" s="164" customFormat="1" ht="12.75" customHeight="1"/>
    <row r="415" s="164" customFormat="1" ht="12.75" customHeight="1"/>
    <row r="416" s="164" customFormat="1" ht="12.75" customHeight="1"/>
    <row r="417" s="164" customFormat="1" ht="12.75" customHeight="1"/>
    <row r="418" s="164" customFormat="1" ht="12.75" customHeight="1"/>
    <row r="419" s="164" customFormat="1" ht="12.75" customHeight="1"/>
    <row r="420" s="164" customFormat="1" ht="12.75" customHeight="1"/>
    <row r="421" s="164" customFormat="1" ht="12.75" customHeight="1"/>
    <row r="422" s="164" customFormat="1" ht="12.75" customHeight="1"/>
    <row r="423" s="164" customFormat="1" ht="12.75" customHeight="1"/>
    <row r="424" s="164" customFormat="1" ht="12.75" customHeight="1"/>
    <row r="425" s="164" customFormat="1" ht="12.75" customHeight="1"/>
    <row r="426" s="164" customFormat="1" ht="12.75" customHeight="1"/>
    <row r="427" s="164" customFormat="1" ht="12.75" customHeight="1"/>
    <row r="428" s="164" customFormat="1" ht="12.75" customHeight="1"/>
    <row r="429" s="164" customFormat="1" ht="12.75" customHeight="1"/>
    <row r="430" s="164" customFormat="1" ht="12.75" customHeight="1"/>
    <row r="431" s="164" customFormat="1" ht="12.75" customHeight="1"/>
    <row r="432" s="164" customFormat="1" ht="12.75" customHeight="1"/>
    <row r="433" s="164" customFormat="1" ht="12.75" customHeight="1"/>
    <row r="434" s="164" customFormat="1" ht="12.75" customHeight="1"/>
    <row r="435" s="164" customFormat="1" ht="12.75" customHeight="1"/>
    <row r="436" s="164" customFormat="1" ht="12.75" customHeight="1"/>
    <row r="437" s="164" customFormat="1" ht="12.75" customHeight="1"/>
    <row r="438" s="164" customFormat="1" ht="12.75" customHeight="1"/>
    <row r="439" s="164" customFormat="1" ht="12.75" customHeight="1"/>
    <row r="440" s="164" customFormat="1" ht="12.75" customHeight="1"/>
    <row r="441" s="164" customFormat="1" ht="12.75" customHeight="1"/>
    <row r="442" s="164" customFormat="1" ht="12.75" customHeight="1"/>
    <row r="443" s="164" customFormat="1" ht="12.75" customHeight="1"/>
    <row r="444" s="164" customFormat="1" ht="12.75" customHeight="1"/>
    <row r="445" s="164" customFormat="1" ht="12.75" customHeight="1"/>
    <row r="446" s="164" customFormat="1" ht="12.75" customHeight="1"/>
    <row r="447" s="164" customFormat="1" ht="12.75" customHeight="1"/>
    <row r="448" s="164" customFormat="1" ht="12.75" customHeight="1"/>
    <row r="449" s="164" customFormat="1" ht="12.75" customHeight="1"/>
    <row r="450" s="164" customFormat="1" ht="12.75" customHeight="1"/>
    <row r="451" s="164" customFormat="1" ht="12.75" customHeight="1"/>
    <row r="452" s="164" customFormat="1" ht="12.75" customHeight="1"/>
    <row r="453" s="164" customFormat="1" ht="12.75" customHeight="1"/>
    <row r="454" s="164" customFormat="1" ht="12.75" customHeight="1"/>
    <row r="455" s="164" customFormat="1" ht="12.75" customHeight="1"/>
    <row r="456" s="164" customFormat="1" ht="12.75" customHeight="1"/>
    <row r="457" s="164" customFormat="1" ht="12.75" customHeight="1"/>
    <row r="458" s="164" customFormat="1" ht="12.75" customHeight="1"/>
    <row r="459" s="164" customFormat="1" ht="12.75" customHeight="1"/>
    <row r="460" s="164" customFormat="1" ht="12.75" customHeight="1"/>
    <row r="461" s="164" customFormat="1" ht="12.75" customHeight="1"/>
    <row r="462" s="164" customFormat="1" ht="12.75" customHeight="1"/>
    <row r="463" s="164" customFormat="1" ht="12.75" customHeight="1"/>
    <row r="464" s="164" customFormat="1" ht="12.75" customHeight="1"/>
    <row r="465" s="164" customFormat="1" ht="12.75" customHeight="1"/>
    <row r="466" s="164" customFormat="1" ht="12.75" customHeight="1"/>
    <row r="467" s="164" customFormat="1" ht="12.75" customHeight="1"/>
    <row r="468" s="164" customFormat="1" ht="12.75" customHeight="1"/>
    <row r="469" s="164" customFormat="1" ht="12.75" customHeight="1"/>
    <row r="470" s="164" customFormat="1" ht="12.75" customHeight="1"/>
    <row r="471" s="164" customFormat="1" ht="12.75" customHeight="1"/>
    <row r="472" s="164" customFormat="1" ht="12.75" customHeight="1"/>
    <row r="473" s="164" customFormat="1" ht="12.75" customHeight="1"/>
    <row r="474" s="164" customFormat="1" ht="12.75" customHeight="1"/>
    <row r="475" s="164" customFormat="1" ht="12.75" customHeight="1"/>
    <row r="476" s="164" customFormat="1" ht="12.75" customHeight="1"/>
    <row r="477" s="164" customFormat="1" ht="12.75" customHeight="1"/>
    <row r="478" s="164" customFormat="1" ht="12.75" customHeight="1"/>
    <row r="479" s="164" customFormat="1" ht="12.75" customHeight="1"/>
    <row r="480" s="164" customFormat="1" ht="12.75" customHeight="1"/>
    <row r="481" s="164" customFormat="1" ht="12.75" customHeight="1"/>
    <row r="482" s="164" customFormat="1" ht="12.75" customHeight="1"/>
    <row r="483" s="164" customFormat="1" ht="12.75" customHeight="1"/>
    <row r="484" s="164" customFormat="1" ht="12.75" customHeight="1"/>
    <row r="485" s="164" customFormat="1" ht="12.75" customHeight="1"/>
    <row r="486" s="164" customFormat="1" ht="12.75" customHeight="1"/>
    <row r="487" s="164" customFormat="1" ht="12.75" customHeight="1"/>
    <row r="488" s="164" customFormat="1" ht="12.75" customHeight="1"/>
    <row r="489" s="164" customFormat="1" ht="12.75" customHeight="1"/>
    <row r="490" s="164" customFormat="1" ht="12.75" customHeight="1"/>
    <row r="491" s="164" customFormat="1" ht="12.75" customHeight="1"/>
    <row r="492" s="164" customFormat="1" ht="12.75" customHeight="1"/>
    <row r="493" s="164" customFormat="1" ht="12.75" customHeight="1"/>
    <row r="494" s="164" customFormat="1" ht="12.75" customHeight="1"/>
    <row r="495" s="164" customFormat="1" ht="12.75" customHeight="1"/>
    <row r="496" s="164" customFormat="1" ht="12.75" customHeight="1"/>
    <row r="497" s="164" customFormat="1" ht="12.75" customHeight="1"/>
    <row r="498" s="164" customFormat="1" ht="12.75" customHeight="1"/>
    <row r="499" s="164" customFormat="1" ht="12.75" customHeight="1"/>
    <row r="500" s="164" customFormat="1" ht="12.75" customHeight="1"/>
    <row r="501" s="164" customFormat="1" ht="12.75" customHeight="1"/>
    <row r="502" s="164" customFormat="1" ht="12.75" customHeight="1"/>
    <row r="503" s="164" customFormat="1" ht="12.75" customHeight="1"/>
    <row r="504" s="164" customFormat="1" ht="12.75" customHeight="1"/>
    <row r="505" s="164" customFormat="1" ht="12.75" customHeight="1"/>
    <row r="506" s="164" customFormat="1" ht="12.75" customHeight="1"/>
    <row r="507" s="164" customFormat="1" ht="12.75" customHeight="1"/>
    <row r="508" s="164" customFormat="1" ht="12.75" customHeight="1"/>
    <row r="509" s="164" customFormat="1" ht="12.75" customHeight="1"/>
    <row r="510" s="164" customFormat="1" ht="12.75" customHeight="1"/>
    <row r="511" s="164" customFormat="1" ht="12.75" customHeight="1"/>
    <row r="512" s="164" customFormat="1" ht="12.75" customHeight="1"/>
    <row r="513" s="164" customFormat="1" ht="12.75" customHeight="1"/>
    <row r="514" s="164" customFormat="1" ht="12.75" customHeight="1"/>
    <row r="515" s="164" customFormat="1" ht="12.75" customHeight="1"/>
    <row r="516" s="164" customFormat="1" ht="12.75" customHeight="1"/>
    <row r="517" s="164" customFormat="1" ht="12.75" customHeight="1"/>
    <row r="518" s="164" customFormat="1" ht="12.75" customHeight="1"/>
    <row r="519" s="164" customFormat="1" ht="12.75" customHeight="1"/>
    <row r="520" s="164" customFormat="1" ht="12.75" customHeight="1"/>
    <row r="521" s="164" customFormat="1" ht="12.75" customHeight="1"/>
    <row r="522" s="164" customFormat="1" ht="12.75" customHeight="1"/>
    <row r="523" s="164" customFormat="1" ht="12.75" customHeight="1"/>
    <row r="524" s="164" customFormat="1" ht="12.75" customHeight="1"/>
    <row r="525" s="164" customFormat="1" ht="12.75" customHeight="1"/>
    <row r="526" s="164" customFormat="1" ht="12.75" customHeight="1"/>
    <row r="527" s="164" customFormat="1" ht="12.75" customHeight="1"/>
    <row r="528" s="164" customFormat="1" ht="12.75" customHeight="1"/>
    <row r="529" s="164" customFormat="1" ht="12.75" customHeight="1"/>
    <row r="530" s="164" customFormat="1" ht="12.75" customHeight="1"/>
    <row r="531" s="164" customFormat="1" ht="12.75" customHeight="1"/>
    <row r="532" s="164" customFormat="1" ht="12.75" customHeight="1"/>
    <row r="533" s="164" customFormat="1" ht="12.75" customHeight="1"/>
    <row r="534" s="164" customFormat="1" ht="12.75" customHeight="1"/>
    <row r="535" s="164" customFormat="1" ht="12.75" customHeight="1"/>
    <row r="536" s="164" customFormat="1" ht="12.75" customHeight="1"/>
    <row r="537" s="164" customFormat="1" ht="12.75" customHeight="1"/>
    <row r="538" s="164" customFormat="1" ht="12.75" customHeight="1"/>
    <row r="539" s="164" customFormat="1" ht="12.75" customHeight="1"/>
    <row r="540" s="164" customFormat="1" ht="12.75" customHeight="1"/>
    <row r="541" s="164" customFormat="1" ht="12.75" customHeight="1"/>
    <row r="542" s="164" customFormat="1" ht="12.75" customHeight="1"/>
    <row r="543" s="164" customFormat="1" ht="12.75" customHeight="1"/>
    <row r="544" s="164" customFormat="1" ht="12.75" customHeight="1"/>
    <row r="545" s="164" customFormat="1" ht="12.75" customHeight="1"/>
    <row r="546" s="164" customFormat="1" ht="12.75" customHeight="1"/>
    <row r="547" s="164" customFormat="1" ht="12.75" customHeight="1"/>
    <row r="548" s="164" customFormat="1" ht="12.75" customHeight="1"/>
    <row r="549" s="164" customFormat="1" ht="12.75" customHeight="1"/>
    <row r="550" s="164" customFormat="1" ht="12.75" customHeight="1"/>
    <row r="551" s="164" customFormat="1" ht="12.75" customHeight="1"/>
    <row r="552" s="164" customFormat="1" ht="12.75" customHeight="1"/>
    <row r="553" s="164" customFormat="1" ht="12.75" customHeight="1"/>
    <row r="554" s="164" customFormat="1" ht="12.75" customHeight="1"/>
    <row r="555" s="164" customFormat="1" ht="12.75" customHeight="1"/>
    <row r="556" s="164" customFormat="1" ht="12.75" customHeight="1"/>
    <row r="557" s="164" customFormat="1" ht="12.75" customHeight="1"/>
    <row r="558" s="164" customFormat="1" ht="12.75" customHeight="1"/>
    <row r="559" s="164" customFormat="1" ht="12.75" customHeight="1"/>
    <row r="560" s="164" customFormat="1" ht="12.75" customHeight="1"/>
    <row r="561" s="164" customFormat="1" ht="12.75" customHeight="1"/>
    <row r="562" s="164" customFormat="1" ht="12.75" customHeight="1"/>
    <row r="563" s="164" customFormat="1" ht="12.75" customHeight="1"/>
    <row r="564" s="164" customFormat="1" ht="12.75" customHeight="1"/>
    <row r="565" s="164" customFormat="1" ht="12.75" customHeight="1"/>
    <row r="566" s="164" customFormat="1" ht="12.75" customHeight="1"/>
    <row r="567" s="164" customFormat="1" ht="12.75" customHeight="1"/>
    <row r="568" s="164" customFormat="1" ht="12.75" customHeight="1"/>
    <row r="569" s="164" customFormat="1" ht="12.75" customHeight="1"/>
    <row r="570" s="164" customFormat="1" ht="12.75" customHeight="1"/>
    <row r="571" s="164" customFormat="1" ht="12.75" customHeight="1"/>
    <row r="572" s="164" customFormat="1" ht="12.75" customHeight="1"/>
    <row r="573" s="164" customFormat="1" ht="12.75" customHeight="1"/>
    <row r="574" s="164" customFormat="1" ht="12.75" customHeight="1"/>
    <row r="575" s="164" customFormat="1" ht="12.75" customHeight="1"/>
    <row r="576" s="164" customFormat="1" ht="12.75" customHeight="1"/>
    <row r="577" s="164" customFormat="1" ht="12.75" customHeight="1"/>
    <row r="578" s="164" customFormat="1" ht="12.75" customHeight="1"/>
    <row r="579" s="164" customFormat="1" ht="12.75" customHeight="1"/>
    <row r="580" s="164" customFormat="1" ht="12.75" customHeight="1"/>
    <row r="581" s="164" customFormat="1" ht="12.75" customHeight="1"/>
    <row r="582" s="164" customFormat="1" ht="12.75" customHeight="1"/>
    <row r="583" s="164" customFormat="1" ht="12.75" customHeight="1"/>
    <row r="584" s="164" customFormat="1" ht="12.75" customHeight="1"/>
    <row r="585" s="164" customFormat="1" ht="12.75" customHeight="1"/>
    <row r="586" s="164" customFormat="1" ht="12.75" customHeight="1"/>
    <row r="587" s="164" customFormat="1" ht="12.75" customHeight="1"/>
    <row r="588" s="164" customFormat="1" ht="12.75" customHeight="1"/>
    <row r="589" s="164" customFormat="1" ht="12.75" customHeight="1"/>
    <row r="590" s="164" customFormat="1" ht="12.75" customHeight="1"/>
    <row r="591" s="164" customFormat="1" ht="12.75" customHeight="1"/>
    <row r="592" s="164" customFormat="1" ht="12.75" customHeight="1"/>
    <row r="593" s="164" customFormat="1" ht="12.75" customHeight="1"/>
    <row r="594" s="164" customFormat="1" ht="12.75" customHeight="1"/>
    <row r="595" s="164" customFormat="1" ht="12.75" customHeight="1"/>
    <row r="596" s="164" customFormat="1" ht="12.75" customHeight="1"/>
    <row r="597" s="164" customFormat="1" ht="12.75" customHeight="1"/>
    <row r="598" s="164" customFormat="1" ht="12.75" customHeight="1"/>
    <row r="599" s="164" customFormat="1" ht="12.75" customHeight="1"/>
    <row r="600" s="164" customFormat="1" ht="12.75" customHeight="1"/>
    <row r="601" s="164" customFormat="1" ht="12.75" customHeight="1"/>
    <row r="602" s="164" customFormat="1" ht="12.75" customHeight="1"/>
    <row r="603" s="164" customFormat="1" ht="12.75" customHeight="1"/>
    <row r="604" s="164" customFormat="1" ht="12.75" customHeight="1"/>
    <row r="605" s="164" customFormat="1" ht="12.75" customHeight="1"/>
    <row r="606" s="164" customFormat="1" ht="12.75" customHeight="1"/>
    <row r="607" s="164" customFormat="1" ht="12.75" customHeight="1"/>
    <row r="608" s="164" customFormat="1" ht="12.75" customHeight="1"/>
    <row r="609" s="164" customFormat="1" ht="12.75" customHeight="1"/>
    <row r="610" s="164" customFormat="1" ht="12.75" customHeight="1"/>
    <row r="611" s="164" customFormat="1" ht="12.75" customHeight="1"/>
    <row r="612" s="164" customFormat="1" ht="12.75" customHeight="1"/>
    <row r="613" s="164" customFormat="1" ht="12.75" customHeight="1"/>
    <row r="614" s="164" customFormat="1" ht="12.75" customHeight="1"/>
    <row r="615" s="164" customFormat="1" ht="12.75" customHeight="1"/>
    <row r="616" s="164" customFormat="1" ht="12.75" customHeight="1"/>
    <row r="617" s="164" customFormat="1" ht="12.75" customHeight="1"/>
    <row r="618" s="164" customFormat="1" ht="12.75" customHeight="1"/>
    <row r="619" s="164" customFormat="1" ht="12.75" customHeight="1"/>
    <row r="620" s="164" customFormat="1" ht="12.75" customHeight="1"/>
    <row r="621" s="164" customFormat="1" ht="12.75" customHeight="1"/>
    <row r="622" s="164" customFormat="1" ht="12.75" customHeight="1"/>
    <row r="623" s="164" customFormat="1" ht="12.75" customHeight="1"/>
    <row r="624" s="164" customFormat="1" ht="12.75" customHeight="1"/>
    <row r="625" s="164" customFormat="1" ht="12.75" customHeight="1"/>
    <row r="626" s="164" customFormat="1" ht="12.75" customHeight="1"/>
    <row r="627" s="164" customFormat="1" ht="12.75" customHeight="1"/>
    <row r="628" s="164" customFormat="1" ht="12.75" customHeight="1"/>
    <row r="629" s="164" customFormat="1" ht="12.75" customHeight="1"/>
    <row r="630" s="164" customFormat="1" ht="12.75" customHeight="1"/>
    <row r="631" s="164" customFormat="1" ht="12.75" customHeight="1"/>
    <row r="632" s="164" customFormat="1" ht="12.75" customHeight="1"/>
    <row r="633" s="164" customFormat="1" ht="12.75" customHeight="1"/>
    <row r="634" s="164" customFormat="1" ht="12.75" customHeight="1"/>
    <row r="635" s="164" customFormat="1" ht="12.75" customHeight="1"/>
    <row r="636" s="164" customFormat="1" ht="12.75" customHeight="1"/>
    <row r="637" s="164" customFormat="1" ht="12.75" customHeight="1"/>
    <row r="638" s="164" customFormat="1" ht="12.75" customHeight="1"/>
    <row r="639" s="164" customFormat="1" ht="12.75" customHeight="1"/>
    <row r="640" s="164" customFormat="1" ht="12.75" customHeight="1"/>
    <row r="641" s="164" customFormat="1" ht="12.75" customHeight="1"/>
    <row r="642" s="164" customFormat="1" ht="12.75" customHeight="1"/>
    <row r="643" s="164" customFormat="1" ht="12.75" customHeight="1"/>
    <row r="644" s="164" customFormat="1" ht="12.75" customHeight="1"/>
    <row r="645" s="164" customFormat="1" ht="12.75" customHeight="1"/>
    <row r="646" s="164" customFormat="1" ht="12.75" customHeight="1"/>
    <row r="647" s="164" customFormat="1" ht="12.75" customHeight="1"/>
    <row r="648" s="164" customFormat="1" ht="12.75" customHeight="1"/>
    <row r="649" s="164" customFormat="1" ht="12.75" customHeight="1"/>
    <row r="650" s="164" customFormat="1" ht="12.75" customHeight="1"/>
    <row r="651" s="164" customFormat="1" ht="12.75" customHeight="1"/>
    <row r="652" s="164" customFormat="1" ht="12.75" customHeight="1"/>
    <row r="653" s="164" customFormat="1" ht="12.75" customHeight="1"/>
    <row r="654" s="164" customFormat="1" ht="12.75" customHeight="1"/>
    <row r="655" s="164" customFormat="1" ht="12.75" customHeight="1"/>
    <row r="656" s="164" customFormat="1" ht="12.75" customHeight="1"/>
    <row r="657" s="164" customFormat="1" ht="12.75" customHeight="1"/>
    <row r="658" s="164" customFormat="1" ht="12.75" customHeight="1"/>
    <row r="659" s="164" customFormat="1" ht="12.75" customHeight="1"/>
    <row r="660" s="164" customFormat="1" ht="12.75" customHeight="1"/>
    <row r="661" s="164" customFormat="1" ht="12.75" customHeight="1"/>
    <row r="662" s="164" customFormat="1" ht="12.75" customHeight="1"/>
    <row r="663" s="164" customFormat="1" ht="12.75" customHeight="1"/>
    <row r="664" s="164" customFormat="1" ht="12.75" customHeight="1"/>
    <row r="665" s="164" customFormat="1" ht="12.75" customHeight="1"/>
    <row r="666" s="164" customFormat="1" ht="12.75" customHeight="1"/>
    <row r="667" s="164" customFormat="1" ht="12.75" customHeight="1"/>
    <row r="668" s="164" customFormat="1" ht="12.75" customHeight="1"/>
    <row r="669" s="164" customFormat="1" ht="12.75" customHeight="1"/>
    <row r="670" s="164" customFormat="1" ht="12.75" customHeight="1"/>
    <row r="671" s="164" customFormat="1" ht="12.75" customHeight="1"/>
    <row r="672" s="164" customFormat="1" ht="12.75" customHeight="1"/>
    <row r="673" s="164" customFormat="1" ht="12.75" customHeight="1"/>
    <row r="674" s="164" customFormat="1" ht="12.75" customHeight="1"/>
    <row r="675" s="164" customFormat="1" ht="12.75" customHeight="1"/>
    <row r="676" s="164" customFormat="1" ht="12.75" customHeight="1"/>
    <row r="677" s="164" customFormat="1" ht="12.75" customHeight="1"/>
    <row r="678" s="164" customFormat="1" ht="12.75" customHeight="1"/>
    <row r="679" s="164" customFormat="1" ht="12.75" customHeight="1"/>
    <row r="680" s="164" customFormat="1" ht="12.75" customHeight="1"/>
    <row r="681" s="164" customFormat="1" ht="12.75" customHeight="1"/>
    <row r="682" s="164" customFormat="1" ht="12.75" customHeight="1"/>
    <row r="683" s="164" customFormat="1" ht="12.75" customHeight="1"/>
    <row r="684" s="164" customFormat="1" ht="12.75" customHeight="1"/>
    <row r="685" s="164" customFormat="1" ht="12.75" customHeight="1"/>
    <row r="686" s="164" customFormat="1" ht="12.75" customHeight="1"/>
    <row r="687" s="164" customFormat="1" ht="12.75" customHeight="1"/>
    <row r="688" s="164" customFormat="1" ht="12.75" customHeight="1"/>
    <row r="689" s="164" customFormat="1" ht="12.75" customHeight="1"/>
    <row r="690" s="164" customFormat="1" ht="12.75" customHeight="1"/>
    <row r="691" s="164" customFormat="1" ht="12.75" customHeight="1"/>
    <row r="692" s="164" customFormat="1" ht="12.75" customHeight="1"/>
    <row r="693" s="164" customFormat="1" ht="12.75" customHeight="1"/>
    <row r="694" s="164" customFormat="1" ht="12.75" customHeight="1"/>
    <row r="695" s="164" customFormat="1" ht="12.75" customHeight="1"/>
    <row r="696" s="164" customFormat="1" ht="12.75" customHeight="1"/>
    <row r="697" s="164" customFormat="1" ht="12.75" customHeight="1"/>
    <row r="698" s="164" customFormat="1" ht="12.75" customHeight="1"/>
    <row r="699" s="164" customFormat="1" ht="12.75" customHeight="1"/>
    <row r="700" s="164" customFormat="1" ht="12.75" customHeight="1"/>
    <row r="701" s="164" customFormat="1" ht="12.75" customHeight="1"/>
    <row r="702" s="164" customFormat="1" ht="12.75" customHeight="1"/>
    <row r="703" s="164" customFormat="1" ht="12.75" customHeight="1"/>
    <row r="704" s="164" customFormat="1" ht="12.75" customHeight="1"/>
    <row r="705" s="164" customFormat="1" ht="12.75" customHeight="1"/>
    <row r="706" s="164" customFormat="1" ht="12.75" customHeight="1"/>
    <row r="707" s="164" customFormat="1" ht="12.75" customHeight="1"/>
    <row r="708" s="164" customFormat="1" ht="12.75" customHeight="1"/>
    <row r="709" s="164" customFormat="1" ht="12.75" customHeight="1"/>
    <row r="710" s="164" customFormat="1" ht="12.75" customHeight="1"/>
    <row r="711" s="164" customFormat="1" ht="12.75" customHeight="1"/>
    <row r="712" s="164" customFormat="1" ht="12.75" customHeight="1"/>
    <row r="713" s="164" customFormat="1" ht="12.75" customHeight="1"/>
    <row r="714" s="164" customFormat="1" ht="12.75" customHeight="1"/>
    <row r="715" s="164" customFormat="1" ht="12.75" customHeight="1"/>
    <row r="716" s="164" customFormat="1" ht="12.75" customHeight="1"/>
    <row r="717" s="164" customFormat="1" ht="12.75" customHeight="1"/>
    <row r="718" s="164" customFormat="1" ht="12.75" customHeight="1"/>
    <row r="719" s="164" customFormat="1" ht="12.75" customHeight="1"/>
    <row r="720" s="164" customFormat="1" ht="12.75" customHeight="1"/>
    <row r="721" s="164" customFormat="1" ht="12.75" customHeight="1"/>
    <row r="722" s="164" customFormat="1" ht="12.75" customHeight="1"/>
    <row r="723" s="164" customFormat="1" ht="12.75" customHeight="1"/>
    <row r="724" s="164" customFormat="1" ht="12.75" customHeight="1"/>
    <row r="725" s="164" customFormat="1" ht="12.75" customHeight="1"/>
    <row r="726" s="164" customFormat="1" ht="12.75" customHeight="1"/>
    <row r="727" s="164" customFormat="1" ht="12.75" customHeight="1"/>
    <row r="728" s="164" customFormat="1" ht="12.75" customHeight="1"/>
    <row r="729" s="164" customFormat="1" ht="12.75" customHeight="1"/>
    <row r="730" s="164" customFormat="1" ht="12.75" customHeight="1"/>
    <row r="731" s="164" customFormat="1" ht="12.75" customHeight="1"/>
    <row r="732" s="164" customFormat="1" ht="12.75" customHeight="1"/>
    <row r="733" s="164" customFormat="1" ht="12.75" customHeight="1"/>
    <row r="734" s="164" customFormat="1" ht="12.75" customHeight="1"/>
    <row r="735" s="164" customFormat="1" ht="12.75" customHeight="1"/>
    <row r="736" s="164" customFormat="1" ht="12.75" customHeight="1"/>
    <row r="737" s="164" customFormat="1" ht="12.75" customHeight="1"/>
    <row r="738" s="164" customFormat="1" ht="12.75" customHeight="1"/>
    <row r="739" s="164" customFormat="1" ht="12.75" customHeight="1"/>
    <row r="740" s="164" customFormat="1" ht="12.75" customHeight="1"/>
    <row r="741" s="164" customFormat="1" ht="12.75" customHeight="1"/>
    <row r="742" s="164" customFormat="1" ht="12.75" customHeight="1"/>
    <row r="743" s="164" customFormat="1" ht="12.75" customHeight="1"/>
    <row r="744" s="164" customFormat="1" ht="12.75" customHeight="1"/>
    <row r="745" s="164" customFormat="1" ht="12.75" customHeight="1"/>
    <row r="746" s="164" customFormat="1" ht="12.75" customHeight="1"/>
    <row r="747" s="164" customFormat="1" ht="12.75" customHeight="1"/>
    <row r="748" s="164" customFormat="1" ht="12.75" customHeight="1"/>
    <row r="749" s="164" customFormat="1" ht="12.75" customHeight="1"/>
    <row r="750" s="164" customFormat="1" ht="12.75" customHeight="1"/>
    <row r="751" s="164" customFormat="1" ht="12.75" customHeight="1"/>
    <row r="752" s="164" customFormat="1" ht="12.75" customHeight="1"/>
    <row r="753" s="164" customFormat="1" ht="12.75" customHeight="1"/>
    <row r="754" s="164" customFormat="1" ht="12.75" customHeight="1"/>
    <row r="755" s="164" customFormat="1" ht="12.75" customHeight="1"/>
    <row r="756" s="164" customFormat="1" ht="12.75" customHeight="1"/>
    <row r="757" s="164" customFormat="1" ht="12.75" customHeight="1"/>
    <row r="758" s="164" customFormat="1" ht="12.75" customHeight="1"/>
    <row r="759" s="164" customFormat="1" ht="12.75" customHeight="1"/>
    <row r="760" s="164" customFormat="1" ht="12.75" customHeight="1"/>
    <row r="761" s="164" customFormat="1" ht="12.75" customHeight="1"/>
    <row r="762" s="164" customFormat="1" ht="12.75" customHeight="1"/>
    <row r="763" s="164" customFormat="1" ht="12.75" customHeight="1"/>
    <row r="764" s="164" customFormat="1" ht="12.75" customHeight="1"/>
    <row r="765" s="164" customFormat="1" ht="12.75" customHeight="1"/>
    <row r="766" s="164" customFormat="1" ht="12.75" customHeight="1"/>
    <row r="767" s="164" customFormat="1" ht="12.75" customHeight="1"/>
    <row r="768" s="164" customFormat="1" ht="12.75" customHeight="1"/>
    <row r="769" s="164" customFormat="1" ht="12.75" customHeight="1"/>
    <row r="770" s="164" customFormat="1" ht="12.75" customHeight="1"/>
    <row r="771" s="164" customFormat="1" ht="12.75" customHeight="1"/>
    <row r="772" s="164" customFormat="1" ht="12.75" customHeight="1"/>
    <row r="773" s="164" customFormat="1" ht="12.75" customHeight="1"/>
    <row r="774" s="164" customFormat="1" ht="12.75" customHeight="1"/>
    <row r="775" s="164" customFormat="1" ht="12.75" customHeight="1"/>
    <row r="776" s="164" customFormat="1" ht="12.75" customHeight="1"/>
    <row r="777" s="164" customFormat="1" ht="12.75" customHeight="1"/>
    <row r="778" s="164" customFormat="1" ht="12.75" customHeight="1"/>
    <row r="779" s="164" customFormat="1" ht="12.75" customHeight="1"/>
    <row r="780" s="164" customFormat="1" ht="12.75" customHeight="1"/>
    <row r="781" s="164" customFormat="1" ht="12.75" customHeight="1"/>
    <row r="782" s="164" customFormat="1" ht="12.75" customHeight="1"/>
    <row r="783" s="164" customFormat="1" ht="12.75" customHeight="1"/>
    <row r="784" s="164" customFormat="1" ht="12.75" customHeight="1"/>
    <row r="785" s="164" customFormat="1" ht="12.75" customHeight="1"/>
    <row r="786" s="164" customFormat="1" ht="12.75" customHeight="1"/>
    <row r="787" s="164" customFormat="1" ht="12.75" customHeight="1"/>
    <row r="788" s="164" customFormat="1" ht="12.75" customHeight="1"/>
    <row r="789" s="164" customFormat="1" ht="12.75" customHeight="1"/>
    <row r="790" s="164" customFormat="1" ht="12.75" customHeight="1"/>
    <row r="791" s="164" customFormat="1" ht="12.75" customHeight="1"/>
    <row r="792" s="164" customFormat="1" ht="12.75" customHeight="1"/>
    <row r="793" s="164" customFormat="1" ht="12.75" customHeight="1"/>
    <row r="794" s="164" customFormat="1" ht="12.75" customHeight="1"/>
    <row r="795" s="164" customFormat="1" ht="12.75" customHeight="1"/>
    <row r="796" s="164" customFormat="1" ht="12.75" customHeight="1"/>
    <row r="797" s="164" customFormat="1" ht="12.75" customHeight="1"/>
    <row r="798" s="164" customFormat="1" ht="12.75" customHeight="1"/>
    <row r="799" s="164" customFormat="1" ht="12.75" customHeight="1"/>
    <row r="800" s="164" customFormat="1" ht="12.75" customHeight="1"/>
    <row r="801" s="164" customFormat="1" ht="12.75" customHeight="1"/>
    <row r="802" s="164" customFormat="1" ht="12.75" customHeight="1"/>
    <row r="803" s="164" customFormat="1" ht="12.75" customHeight="1"/>
    <row r="804" s="164" customFormat="1" ht="12.75" customHeight="1"/>
    <row r="805" s="164" customFormat="1" ht="12.75" customHeight="1"/>
    <row r="806" s="164" customFormat="1" ht="12.75" customHeight="1"/>
    <row r="807" s="164" customFormat="1" ht="12.75" customHeight="1"/>
    <row r="808" s="164" customFormat="1" ht="12.75" customHeight="1"/>
    <row r="809" s="164" customFormat="1" ht="12.75" customHeight="1"/>
    <row r="810" s="164" customFormat="1" ht="12.75" customHeight="1"/>
    <row r="811" s="164" customFormat="1" ht="12.75" customHeight="1"/>
    <row r="812" s="164" customFormat="1" ht="12.75" customHeight="1"/>
    <row r="813" s="164" customFormat="1" ht="12.75" customHeight="1"/>
    <row r="814" s="164" customFormat="1" ht="12.75" customHeight="1"/>
    <row r="815" s="164" customFormat="1" ht="12.75" customHeight="1"/>
    <row r="816" s="164" customFormat="1" ht="12.75" customHeight="1"/>
    <row r="817" s="164" customFormat="1" ht="12.75" customHeight="1"/>
    <row r="818" s="164" customFormat="1" ht="12.75" customHeight="1"/>
    <row r="819" s="164" customFormat="1" ht="12.75" customHeight="1"/>
    <row r="820" s="164" customFormat="1" ht="12.75" customHeight="1"/>
    <row r="821" s="164" customFormat="1" ht="12.75" customHeight="1"/>
    <row r="822" s="164" customFormat="1" ht="12.75" customHeight="1"/>
    <row r="823" s="164" customFormat="1" ht="12.75" customHeight="1"/>
    <row r="824" s="164" customFormat="1" ht="12.75" customHeight="1"/>
    <row r="825" s="164" customFormat="1" ht="12.75" customHeight="1"/>
    <row r="826" s="164" customFormat="1" ht="12.75" customHeight="1"/>
    <row r="827" s="164" customFormat="1" ht="12.75" customHeight="1"/>
    <row r="828" s="164" customFormat="1" ht="12.75" customHeight="1"/>
    <row r="829" s="164" customFormat="1" ht="12.75" customHeight="1"/>
    <row r="830" s="164" customFormat="1" ht="12.75" customHeight="1"/>
    <row r="831" s="164" customFormat="1" ht="12.75" customHeight="1"/>
    <row r="832" s="164" customFormat="1" ht="12.75" customHeight="1"/>
    <row r="833" s="164" customFormat="1" ht="12.75" customHeight="1"/>
    <row r="834" s="164" customFormat="1" ht="12.75" customHeight="1"/>
    <row r="835" s="164" customFormat="1" ht="12.75" customHeight="1"/>
    <row r="836" s="164" customFormat="1" ht="12.75" customHeight="1"/>
    <row r="837" s="164" customFormat="1" ht="12.75" customHeight="1"/>
    <row r="838" s="164" customFormat="1" ht="12.75" customHeight="1"/>
    <row r="839" s="164" customFormat="1" ht="12.75" customHeight="1"/>
    <row r="840" s="164" customFormat="1" ht="12.75" customHeight="1"/>
    <row r="841" s="164" customFormat="1" ht="12.75" customHeight="1"/>
    <row r="842" s="164" customFormat="1" ht="12.75" customHeight="1"/>
    <row r="843" s="164" customFormat="1" ht="12.75" customHeight="1"/>
    <row r="844" s="164" customFormat="1" ht="12.75" customHeight="1"/>
    <row r="845" s="164" customFormat="1" ht="12.75" customHeight="1"/>
    <row r="846" s="164" customFormat="1" ht="12.75" customHeight="1"/>
    <row r="847" s="164" customFormat="1" ht="12.75" customHeight="1"/>
    <row r="848" s="164" customFormat="1" ht="12.75" customHeight="1"/>
    <row r="849" s="164" customFormat="1" ht="12.75" customHeight="1"/>
    <row r="850" s="164" customFormat="1" ht="12.75" customHeight="1"/>
    <row r="851" s="164" customFormat="1" ht="12.75" customHeight="1"/>
    <row r="852" s="164" customFormat="1" ht="12.75" customHeight="1"/>
    <row r="853" s="164" customFormat="1" ht="12.75" customHeight="1"/>
    <row r="854" s="164" customFormat="1" ht="12.75" customHeight="1"/>
    <row r="855" s="164" customFormat="1" ht="12.75" customHeight="1"/>
    <row r="856" s="164" customFormat="1" ht="12.75" customHeight="1"/>
    <row r="857" s="164" customFormat="1" ht="12.75" customHeight="1"/>
    <row r="858" s="164" customFormat="1" ht="12.75" customHeight="1"/>
    <row r="859" s="164" customFormat="1" ht="12.75" customHeight="1"/>
    <row r="860" s="164" customFormat="1" ht="12.75" customHeight="1"/>
    <row r="861" s="164" customFormat="1" ht="12.75" customHeight="1"/>
    <row r="862" s="164" customFormat="1" ht="12.75" customHeight="1"/>
    <row r="863" s="164" customFormat="1" ht="12.75" customHeight="1"/>
    <row r="864" s="164" customFormat="1" ht="12.75" customHeight="1"/>
    <row r="865" s="164" customFormat="1" ht="12.75" customHeight="1"/>
    <row r="866" s="164" customFormat="1" ht="12.75" customHeight="1"/>
    <row r="867" s="164" customFormat="1" ht="12.75" customHeight="1"/>
    <row r="868" s="164" customFormat="1" ht="12.75" customHeight="1"/>
    <row r="869" s="164" customFormat="1" ht="12.75" customHeight="1"/>
    <row r="870" s="164" customFormat="1" ht="12.75" customHeight="1"/>
    <row r="871" s="164" customFormat="1" ht="12.75" customHeight="1"/>
    <row r="872" s="164" customFormat="1" ht="12.75" customHeight="1"/>
    <row r="873" s="164" customFormat="1" ht="12.75" customHeight="1"/>
    <row r="874" s="164" customFormat="1" ht="12.75" customHeight="1"/>
    <row r="875" s="164" customFormat="1" ht="12.75" customHeight="1"/>
    <row r="876" s="164" customFormat="1" ht="12.75" customHeight="1"/>
    <row r="877" s="164" customFormat="1" ht="12.75" customHeight="1"/>
    <row r="878" s="164" customFormat="1" ht="12.75" customHeight="1"/>
    <row r="879" s="164" customFormat="1" ht="12.75" customHeight="1"/>
    <row r="880" s="164" customFormat="1" ht="12.75" customHeight="1"/>
    <row r="881" s="164" customFormat="1" ht="12.75" customHeight="1"/>
    <row r="882" s="164" customFormat="1" ht="12.75" customHeight="1"/>
    <row r="883" s="164" customFormat="1" ht="12.75" customHeight="1"/>
    <row r="884" s="164" customFormat="1" ht="12.75" customHeight="1"/>
    <row r="885" s="164" customFormat="1" ht="12.75" customHeight="1"/>
    <row r="886" s="164" customFormat="1" ht="12.75" customHeight="1"/>
    <row r="887" s="164" customFormat="1" ht="12.75" customHeight="1"/>
    <row r="888" s="164" customFormat="1" ht="12.75" customHeight="1"/>
    <row r="889" s="164" customFormat="1" ht="12.75" customHeight="1"/>
    <row r="890" s="164" customFormat="1" ht="12.75" customHeight="1"/>
    <row r="891" s="164" customFormat="1" ht="12.75" customHeight="1"/>
    <row r="892" s="164" customFormat="1" ht="12.75" customHeight="1"/>
    <row r="893" s="164" customFormat="1" ht="12.75" customHeight="1"/>
    <row r="894" s="164" customFormat="1" ht="12.75" customHeight="1"/>
    <row r="895" s="164" customFormat="1" ht="12.75" customHeight="1"/>
    <row r="896" s="164" customFormat="1" ht="12.75" customHeight="1"/>
    <row r="897" s="164" customFormat="1" ht="12.75" customHeight="1"/>
    <row r="898" s="164" customFormat="1" ht="12.75" customHeight="1"/>
    <row r="899" s="164" customFormat="1" ht="12.75" customHeight="1"/>
    <row r="900" s="164" customFormat="1" ht="12.75" customHeight="1"/>
    <row r="901" s="164" customFormat="1" ht="12.75" customHeight="1"/>
    <row r="902" s="164" customFormat="1" ht="12.75" customHeight="1"/>
    <row r="903" s="164" customFormat="1" ht="12.75" customHeight="1"/>
    <row r="904" s="164" customFormat="1" ht="12.75" customHeight="1"/>
    <row r="905" s="164" customFormat="1" ht="12.75" customHeight="1"/>
    <row r="906" s="164" customFormat="1" ht="12.75" customHeight="1"/>
    <row r="907" s="164" customFormat="1" ht="12.75" customHeight="1"/>
    <row r="908" s="164" customFormat="1" ht="12.75" customHeight="1"/>
    <row r="909" s="164" customFormat="1" ht="12.75" customHeight="1"/>
    <row r="910" s="164" customFormat="1" ht="12.75" customHeight="1"/>
    <row r="911" s="164" customFormat="1" ht="12.75" customHeight="1"/>
    <row r="912" s="164" customFormat="1" ht="12.75" customHeight="1"/>
    <row r="913" s="164" customFormat="1" ht="12.75" customHeight="1"/>
    <row r="914" s="164" customFormat="1" ht="12.75" customHeight="1"/>
    <row r="915" s="164" customFormat="1" ht="12.75" customHeight="1"/>
    <row r="916" s="164" customFormat="1" ht="12.75" customHeight="1"/>
    <row r="917" s="164" customFormat="1" ht="12.75" customHeight="1"/>
    <row r="918" s="164" customFormat="1" ht="12.75" customHeight="1"/>
    <row r="919" s="164" customFormat="1" ht="12.75" customHeight="1"/>
    <row r="920" s="164" customFormat="1" ht="12.75" customHeight="1"/>
    <row r="921" s="164" customFormat="1" ht="12.75" customHeight="1"/>
    <row r="922" s="164" customFormat="1" ht="12.75" customHeight="1"/>
    <row r="923" s="164" customFormat="1" ht="12.75" customHeight="1"/>
    <row r="924" s="164" customFormat="1" ht="12.75" customHeight="1"/>
    <row r="925" s="164" customFormat="1" ht="12.75" customHeight="1"/>
    <row r="926" s="164" customFormat="1" ht="12.75" customHeight="1"/>
    <row r="927" s="164" customFormat="1" ht="12.75" customHeight="1"/>
    <row r="928" s="164" customFormat="1" ht="12.75" customHeight="1"/>
    <row r="929" s="164" customFormat="1" ht="12.75" customHeight="1"/>
    <row r="930" s="164" customFormat="1" ht="12.75" customHeight="1"/>
    <row r="931" s="164" customFormat="1" ht="12.75" customHeight="1"/>
    <row r="932" s="164" customFormat="1" ht="12.75" customHeight="1"/>
    <row r="933" s="164" customFormat="1" ht="12.75" customHeight="1"/>
    <row r="934" s="164" customFormat="1" ht="12.75" customHeight="1"/>
    <row r="935" s="164" customFormat="1" ht="12.75" customHeight="1"/>
    <row r="936" s="164" customFormat="1" ht="12.75" customHeight="1"/>
    <row r="937" s="164" customFormat="1" ht="12.75" customHeight="1"/>
    <row r="938" s="164" customFormat="1" ht="12.75" customHeight="1"/>
    <row r="939" s="164" customFormat="1" ht="12.75" customHeight="1"/>
    <row r="940" s="164" customFormat="1" ht="12.75" customHeight="1"/>
    <row r="941" s="164" customFormat="1" ht="12.75" customHeight="1"/>
    <row r="942" s="164" customFormat="1" ht="12.75" customHeight="1"/>
    <row r="943" s="164" customFormat="1" ht="12.75" customHeight="1"/>
    <row r="944" s="164" customFormat="1" ht="12.75" customHeight="1"/>
    <row r="945" s="164" customFormat="1" ht="12.75" customHeight="1"/>
    <row r="946" s="164" customFormat="1" ht="12.75" customHeight="1"/>
    <row r="947" s="164" customFormat="1" ht="12.75" customHeight="1"/>
    <row r="948" s="164" customFormat="1" ht="12.75" customHeight="1"/>
    <row r="949" s="164" customFormat="1" ht="12.75" customHeight="1"/>
    <row r="950" s="164" customFormat="1" ht="12.75" customHeight="1"/>
    <row r="951" s="164" customFormat="1" ht="12.75" customHeight="1"/>
    <row r="952" s="164" customFormat="1" ht="12.75" customHeight="1"/>
    <row r="953" s="164" customFormat="1" ht="12.75" customHeight="1"/>
    <row r="954" s="164" customFormat="1" ht="12.75" customHeight="1"/>
    <row r="955" s="164" customFormat="1" ht="12.75" customHeight="1"/>
    <row r="956" s="164" customFormat="1" ht="12.75" customHeight="1"/>
    <row r="957" s="164" customFormat="1" ht="12.75" customHeight="1"/>
    <row r="958" s="164" customFormat="1" ht="12.75" customHeight="1"/>
    <row r="959" s="164" customFormat="1" ht="12.75" customHeight="1"/>
    <row r="960" s="164" customFormat="1" ht="12.75" customHeight="1"/>
    <row r="961" s="164" customFormat="1" ht="12.75" customHeight="1"/>
    <row r="962" s="164" customFormat="1" ht="12.75" customHeight="1"/>
    <row r="963" s="164" customFormat="1" ht="12.75" customHeight="1"/>
    <row r="964" s="164" customFormat="1" ht="12.75" customHeight="1"/>
    <row r="965" s="164" customFormat="1" ht="12.75" customHeight="1"/>
    <row r="966" s="164" customFormat="1" ht="12.75" customHeight="1"/>
    <row r="967" s="164" customFormat="1" ht="12.75" customHeight="1"/>
    <row r="968" s="164" customFormat="1" ht="12.75" customHeight="1"/>
    <row r="969" s="164" customFormat="1" ht="12.75" customHeight="1"/>
    <row r="970" s="164" customFormat="1" ht="12.75" customHeight="1"/>
    <row r="971" s="164" customFormat="1" ht="12.75" customHeight="1"/>
    <row r="972" s="164" customFormat="1" ht="12.75" customHeight="1"/>
    <row r="973" s="164" customFormat="1" ht="12.75" customHeight="1"/>
    <row r="974" s="164" customFormat="1" ht="12.75" customHeight="1"/>
    <row r="975" s="164" customFormat="1" ht="12.75" customHeight="1"/>
    <row r="976" s="164" customFormat="1" ht="12.75" customHeight="1"/>
    <row r="977" s="164" customFormat="1" ht="12.75" customHeight="1"/>
    <row r="978" s="164" customFormat="1" ht="12.75" customHeight="1"/>
    <row r="979" s="164" customFormat="1" ht="12.75" customHeight="1"/>
    <row r="980" s="164" customFormat="1" ht="12.75" customHeight="1"/>
    <row r="981" s="164" customFormat="1" ht="12.75" customHeight="1"/>
    <row r="982" s="164" customFormat="1" ht="12.75" customHeight="1"/>
    <row r="983" s="164" customFormat="1" ht="12.75" customHeight="1"/>
    <row r="984" s="164" customFormat="1" ht="12.75" customHeight="1"/>
    <row r="985" s="164" customFormat="1" ht="12.75" customHeight="1"/>
    <row r="986" s="164" customFormat="1" ht="12.75" customHeight="1"/>
    <row r="987" s="164" customFormat="1" ht="12.75" customHeight="1"/>
    <row r="988" s="164" customFormat="1" ht="12.75" customHeight="1"/>
    <row r="989" s="164" customFormat="1" ht="12.75" customHeight="1"/>
    <row r="990" s="164" customFormat="1" ht="12.75" customHeight="1"/>
    <row r="991" s="164" customFormat="1" ht="12.75" customHeight="1"/>
    <row r="992" s="164" customFormat="1" ht="12.75" customHeight="1"/>
    <row r="993" s="164" customFormat="1" ht="12.75" customHeight="1"/>
    <row r="994" s="164" customFormat="1" ht="12.75" customHeight="1"/>
    <row r="995" s="164" customFormat="1" ht="12.75" customHeight="1"/>
    <row r="996" s="164" customFormat="1" ht="12.75" customHeight="1"/>
    <row r="997" s="164" customFormat="1" ht="12.75" customHeight="1"/>
    <row r="998" s="164" customFormat="1" ht="12.75" customHeight="1"/>
    <row r="999" s="164" customFormat="1" ht="12.75" customHeight="1"/>
    <row r="1000" s="164" customFormat="1" ht="12.75" customHeight="1"/>
  </sheetData>
  <mergeCells count="136">
    <mergeCell ref="A114:A116"/>
    <mergeCell ref="B114:B116"/>
    <mergeCell ref="C114:C116"/>
    <mergeCell ref="D114:D116"/>
    <mergeCell ref="E114:E116"/>
    <mergeCell ref="L114:L116"/>
    <mergeCell ref="A108:A110"/>
    <mergeCell ref="B108:B110"/>
    <mergeCell ref="C108:C110"/>
    <mergeCell ref="D108:D110"/>
    <mergeCell ref="E108:E110"/>
    <mergeCell ref="L108:L110"/>
    <mergeCell ref="A111:A113"/>
    <mergeCell ref="B111:B113"/>
    <mergeCell ref="C111:C113"/>
    <mergeCell ref="D111:D113"/>
    <mergeCell ref="E111:E113"/>
    <mergeCell ref="L111:L113"/>
    <mergeCell ref="A102:A104"/>
    <mergeCell ref="B102:B104"/>
    <mergeCell ref="C102:C104"/>
    <mergeCell ref="D102:D104"/>
    <mergeCell ref="E102:E104"/>
    <mergeCell ref="L102:L104"/>
    <mergeCell ref="A105:A107"/>
    <mergeCell ref="B105:B107"/>
    <mergeCell ref="C105:C107"/>
    <mergeCell ref="D105:D107"/>
    <mergeCell ref="E105:E107"/>
    <mergeCell ref="L105:L107"/>
    <mergeCell ref="A91:A95"/>
    <mergeCell ref="B91:B95"/>
    <mergeCell ref="C91:C95"/>
    <mergeCell ref="D91:D95"/>
    <mergeCell ref="E91:E95"/>
    <mergeCell ref="L91:L95"/>
    <mergeCell ref="A97:A100"/>
    <mergeCell ref="B97:B100"/>
    <mergeCell ref="C97:C100"/>
    <mergeCell ref="D97:D100"/>
    <mergeCell ref="E97:E100"/>
    <mergeCell ref="L97:L100"/>
    <mergeCell ref="A77:A83"/>
    <mergeCell ref="B77:B83"/>
    <mergeCell ref="C77:C83"/>
    <mergeCell ref="D77:D83"/>
    <mergeCell ref="E77:E83"/>
    <mergeCell ref="L77:L83"/>
    <mergeCell ref="A84:A90"/>
    <mergeCell ref="B84:B90"/>
    <mergeCell ref="C84:C90"/>
    <mergeCell ref="D84:D90"/>
    <mergeCell ref="E84:E90"/>
    <mergeCell ref="L84:L90"/>
    <mergeCell ref="A67:A71"/>
    <mergeCell ref="B67:B71"/>
    <mergeCell ref="C67:C71"/>
    <mergeCell ref="D67:D71"/>
    <mergeCell ref="E67:E71"/>
    <mergeCell ref="L67:L71"/>
    <mergeCell ref="A73:A76"/>
    <mergeCell ref="B73:B76"/>
    <mergeCell ref="C73:C76"/>
    <mergeCell ref="D73:D76"/>
    <mergeCell ref="E73:E76"/>
    <mergeCell ref="L73:L76"/>
    <mergeCell ref="A59:A62"/>
    <mergeCell ref="B59:B62"/>
    <mergeCell ref="C59:C62"/>
    <mergeCell ref="D59:D62"/>
    <mergeCell ref="E59:E62"/>
    <mergeCell ref="L59:L62"/>
    <mergeCell ref="A63:A66"/>
    <mergeCell ref="B63:B66"/>
    <mergeCell ref="C63:C66"/>
    <mergeCell ref="D63:D66"/>
    <mergeCell ref="E63:E66"/>
    <mergeCell ref="L63:L66"/>
    <mergeCell ref="A50:A53"/>
    <mergeCell ref="B50:B53"/>
    <mergeCell ref="C50:C53"/>
    <mergeCell ref="D50:D53"/>
    <mergeCell ref="E50:E53"/>
    <mergeCell ref="L50:L53"/>
    <mergeCell ref="A54:A57"/>
    <mergeCell ref="B54:B57"/>
    <mergeCell ref="C54:C57"/>
    <mergeCell ref="D54:D57"/>
    <mergeCell ref="E54:E57"/>
    <mergeCell ref="L54:L57"/>
    <mergeCell ref="A41:A46"/>
    <mergeCell ref="B41:B46"/>
    <mergeCell ref="C41:C46"/>
    <mergeCell ref="D41:D46"/>
    <mergeCell ref="E41:E46"/>
    <mergeCell ref="L41:L46"/>
    <mergeCell ref="A47:A48"/>
    <mergeCell ref="B47:B48"/>
    <mergeCell ref="C47:C48"/>
    <mergeCell ref="D47:D48"/>
    <mergeCell ref="E47:E48"/>
    <mergeCell ref="L47:L48"/>
    <mergeCell ref="A31:A37"/>
    <mergeCell ref="B31:B37"/>
    <mergeCell ref="C31:C37"/>
    <mergeCell ref="D31:D37"/>
    <mergeCell ref="E31:E37"/>
    <mergeCell ref="L31:L37"/>
    <mergeCell ref="A39:A40"/>
    <mergeCell ref="B39:B40"/>
    <mergeCell ref="C39:C40"/>
    <mergeCell ref="D39:D40"/>
    <mergeCell ref="E39:E40"/>
    <mergeCell ref="L39:L40"/>
    <mergeCell ref="A20:A23"/>
    <mergeCell ref="B20:B23"/>
    <mergeCell ref="C20:C23"/>
    <mergeCell ref="D20:D23"/>
    <mergeCell ref="E20:E23"/>
    <mergeCell ref="L20:L23"/>
    <mergeCell ref="A24:A30"/>
    <mergeCell ref="B24:B30"/>
    <mergeCell ref="C24:C30"/>
    <mergeCell ref="D24:D30"/>
    <mergeCell ref="E24:E30"/>
    <mergeCell ref="L24:L30"/>
    <mergeCell ref="A1:M1"/>
    <mergeCell ref="A2:M2"/>
    <mergeCell ref="A3:M3"/>
    <mergeCell ref="A13:A15"/>
    <mergeCell ref="B13:B15"/>
    <mergeCell ref="C13:C15"/>
    <mergeCell ref="D13:D15"/>
    <mergeCell ref="E13:E15"/>
    <mergeCell ref="L13:L15"/>
    <mergeCell ref="A6:L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B1E5-B29B-4172-BC09-6E4F756211BB}">
  <sheetPr>
    <tabColor theme="7"/>
  </sheetPr>
  <dimension ref="A1:Z1000"/>
  <sheetViews>
    <sheetView topLeftCell="A5" workbookViewId="0">
      <selection activeCell="E23" sqref="E23"/>
    </sheetView>
  </sheetViews>
  <sheetFormatPr defaultColWidth="14.3984375" defaultRowHeight="15" customHeight="1"/>
  <cols>
    <col min="1" max="1" width="5.09765625" style="164" customWidth="1"/>
    <col min="2" max="2" width="8" style="164" customWidth="1"/>
    <col min="3" max="3" width="41.59765625" style="164" customWidth="1"/>
    <col min="4" max="4" width="12.69921875" style="164" customWidth="1"/>
    <col min="5" max="5" width="20.69921875" style="164" customWidth="1"/>
    <col min="6" max="6" width="2.8984375" style="164" customWidth="1"/>
    <col min="7" max="7" width="8.8984375" style="164" customWidth="1"/>
    <col min="8" max="8" width="16.8984375" style="164" customWidth="1"/>
    <col min="9" max="9" width="8.8984375" style="164" customWidth="1"/>
    <col min="10" max="26" width="8.69921875" style="164" customWidth="1"/>
    <col min="27" max="16384" width="14.3984375" style="164"/>
  </cols>
  <sheetData>
    <row r="1" spans="1:26" ht="34.5" customHeight="1">
      <c r="A1" s="316" t="s">
        <v>750</v>
      </c>
      <c r="B1" s="306"/>
      <c r="C1" s="306"/>
      <c r="D1" s="306"/>
      <c r="E1" s="306"/>
      <c r="F1" s="306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 spans="1:26" ht="34.5" customHeight="1">
      <c r="A2" s="209" t="s">
        <v>282</v>
      </c>
      <c r="B2" s="209" t="s">
        <v>281</v>
      </c>
      <c r="C2" s="209" t="s">
        <v>280</v>
      </c>
      <c r="D2" s="209" t="s">
        <v>279</v>
      </c>
      <c r="E2" s="202" t="s">
        <v>278</v>
      </c>
      <c r="F2" s="191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 spans="1:26" ht="19.5" customHeight="1">
      <c r="A3" s="196">
        <v>1</v>
      </c>
      <c r="B3" s="208"/>
      <c r="C3" s="196">
        <v>2</v>
      </c>
      <c r="D3" s="196">
        <v>3</v>
      </c>
      <c r="E3" s="196">
        <v>5</v>
      </c>
      <c r="F3" s="191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</row>
    <row r="4" spans="1:26" ht="19.5" customHeight="1">
      <c r="A4" s="202" t="s">
        <v>276</v>
      </c>
      <c r="B4" s="201" t="s">
        <v>275</v>
      </c>
      <c r="C4" s="199"/>
      <c r="D4" s="207"/>
      <c r="E4" s="207"/>
      <c r="F4" s="191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</row>
    <row r="5" spans="1:26" ht="19.5" customHeight="1">
      <c r="A5" s="196">
        <v>1</v>
      </c>
      <c r="B5" s="194" t="s">
        <v>274</v>
      </c>
      <c r="C5" s="194" t="s">
        <v>273</v>
      </c>
      <c r="D5" s="194" t="s">
        <v>638</v>
      </c>
      <c r="E5" s="192">
        <v>14374.999999999998</v>
      </c>
      <c r="F5" s="191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</row>
    <row r="6" spans="1:26" ht="19.5" customHeight="1">
      <c r="A6" s="196">
        <v>2</v>
      </c>
      <c r="B6" s="194" t="s">
        <v>269</v>
      </c>
      <c r="C6" s="194" t="s">
        <v>355</v>
      </c>
      <c r="D6" s="194" t="s">
        <v>638</v>
      </c>
      <c r="E6" s="192">
        <v>16243.749999999998</v>
      </c>
      <c r="F6" s="191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</row>
    <row r="7" spans="1:26" ht="19.5" customHeight="1">
      <c r="A7" s="196">
        <v>3</v>
      </c>
      <c r="B7" s="194" t="s">
        <v>267</v>
      </c>
      <c r="C7" s="194" t="s">
        <v>13</v>
      </c>
      <c r="D7" s="194" t="s">
        <v>638</v>
      </c>
      <c r="E7" s="192">
        <v>20843.75</v>
      </c>
      <c r="F7" s="191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</row>
    <row r="8" spans="1:26" ht="19.5" customHeight="1">
      <c r="A8" s="196">
        <v>4</v>
      </c>
      <c r="B8" s="194" t="s">
        <v>265</v>
      </c>
      <c r="C8" s="194" t="s">
        <v>264</v>
      </c>
      <c r="D8" s="194" t="s">
        <v>638</v>
      </c>
      <c r="E8" s="192">
        <v>28749.999999999996</v>
      </c>
      <c r="F8" s="191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</row>
    <row r="9" spans="1:26" ht="19.5" customHeight="1">
      <c r="A9" s="202" t="s">
        <v>262</v>
      </c>
      <c r="B9" s="206" t="s">
        <v>261</v>
      </c>
      <c r="C9" s="205"/>
      <c r="D9" s="205"/>
      <c r="E9" s="204"/>
      <c r="F9" s="191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</row>
    <row r="10" spans="1:26" ht="19.5" customHeight="1">
      <c r="A10" s="196">
        <v>1</v>
      </c>
      <c r="B10" s="194" t="s">
        <v>749</v>
      </c>
      <c r="C10" s="194" t="s">
        <v>748</v>
      </c>
      <c r="D10" s="194" t="s">
        <v>234</v>
      </c>
      <c r="E10" s="192">
        <v>357836.3</v>
      </c>
      <c r="F10" s="191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</row>
    <row r="11" spans="1:26" ht="19.5" customHeight="1">
      <c r="A11" s="196">
        <v>2</v>
      </c>
      <c r="B11" s="194" t="s">
        <v>747</v>
      </c>
      <c r="C11" s="194" t="s">
        <v>746</v>
      </c>
      <c r="D11" s="194" t="s">
        <v>234</v>
      </c>
      <c r="E11" s="192">
        <v>357836.3</v>
      </c>
      <c r="F11" s="191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</row>
    <row r="12" spans="1:26" ht="19.5" customHeight="1">
      <c r="A12" s="196">
        <v>3</v>
      </c>
      <c r="B12" s="194" t="s">
        <v>745</v>
      </c>
      <c r="C12" s="194" t="s">
        <v>744</v>
      </c>
      <c r="D12" s="194" t="s">
        <v>234</v>
      </c>
      <c r="E12" s="192">
        <v>270606.5</v>
      </c>
      <c r="F12" s="191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</row>
    <row r="13" spans="1:26" ht="19.5" customHeight="1">
      <c r="A13" s="196">
        <v>4</v>
      </c>
      <c r="B13" s="194" t="s">
        <v>743</v>
      </c>
      <c r="C13" s="194" t="s">
        <v>742</v>
      </c>
      <c r="D13" s="194" t="s">
        <v>234</v>
      </c>
      <c r="E13" s="192">
        <v>221883.3</v>
      </c>
      <c r="F13" s="191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</row>
    <row r="14" spans="1:26" ht="19.5" customHeight="1">
      <c r="A14" s="196">
        <v>5</v>
      </c>
      <c r="B14" s="194" t="s">
        <v>741</v>
      </c>
      <c r="C14" s="194" t="s">
        <v>740</v>
      </c>
      <c r="D14" s="194" t="s">
        <v>234</v>
      </c>
      <c r="E14" s="192">
        <v>264811.64999999997</v>
      </c>
      <c r="F14" s="191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</row>
    <row r="15" spans="1:26" ht="19.5" customHeight="1">
      <c r="A15" s="196">
        <v>6</v>
      </c>
      <c r="B15" s="194" t="s">
        <v>739</v>
      </c>
      <c r="C15" s="194" t="s">
        <v>175</v>
      </c>
      <c r="D15" s="194" t="s">
        <v>174</v>
      </c>
      <c r="E15" s="192">
        <v>16.8475</v>
      </c>
      <c r="F15" s="191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</row>
    <row r="16" spans="1:26" ht="19.5" customHeight="1">
      <c r="A16" s="196">
        <v>7</v>
      </c>
      <c r="B16" s="194" t="s">
        <v>738</v>
      </c>
      <c r="C16" s="194" t="s">
        <v>737</v>
      </c>
      <c r="D16" s="194" t="s">
        <v>325</v>
      </c>
      <c r="E16" s="192">
        <v>16544.5785</v>
      </c>
      <c r="F16" s="191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</row>
    <row r="17" spans="1:26" ht="19.5" customHeight="1">
      <c r="A17" s="196">
        <v>8</v>
      </c>
      <c r="B17" s="194" t="s">
        <v>736</v>
      </c>
      <c r="C17" s="194" t="s">
        <v>564</v>
      </c>
      <c r="D17" s="194" t="s">
        <v>174</v>
      </c>
      <c r="E17" s="192">
        <v>17688.149999999998</v>
      </c>
      <c r="F17" s="191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</row>
    <row r="18" spans="1:26" ht="19.5" customHeight="1">
      <c r="A18" s="196">
        <v>9</v>
      </c>
      <c r="B18" s="194" t="s">
        <v>735</v>
      </c>
      <c r="C18" s="194" t="s">
        <v>590</v>
      </c>
      <c r="D18" s="194" t="s">
        <v>234</v>
      </c>
      <c r="E18" s="192">
        <v>107812.49999999999</v>
      </c>
      <c r="F18" s="191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</row>
    <row r="19" spans="1:26" ht="19.5" customHeight="1">
      <c r="A19" s="196">
        <v>10</v>
      </c>
      <c r="B19" s="194" t="s">
        <v>734</v>
      </c>
      <c r="C19" s="194" t="s">
        <v>733</v>
      </c>
      <c r="D19" s="194" t="s">
        <v>325</v>
      </c>
      <c r="E19" s="192">
        <v>26311.999999999996</v>
      </c>
      <c r="F19" s="191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</row>
    <row r="20" spans="1:26" ht="19.5" customHeight="1">
      <c r="A20" s="196">
        <v>11</v>
      </c>
      <c r="B20" s="194" t="s">
        <v>732</v>
      </c>
      <c r="C20" s="194" t="s">
        <v>731</v>
      </c>
      <c r="D20" s="194" t="s">
        <v>234</v>
      </c>
      <c r="E20" s="192">
        <v>240860.59999999998</v>
      </c>
      <c r="F20" s="191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</row>
    <row r="21" spans="1:26" ht="19.5" customHeight="1">
      <c r="A21" s="196">
        <v>12</v>
      </c>
      <c r="B21" s="194" t="s">
        <v>730</v>
      </c>
      <c r="C21" s="194" t="s">
        <v>729</v>
      </c>
      <c r="D21" s="194" t="s">
        <v>234</v>
      </c>
      <c r="E21" s="192">
        <v>1447354.3499999999</v>
      </c>
      <c r="F21" s="191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</row>
    <row r="22" spans="1:26" ht="19.5" customHeight="1">
      <c r="A22" s="196">
        <v>13</v>
      </c>
      <c r="B22" s="194" t="s">
        <v>728</v>
      </c>
      <c r="C22" s="194" t="s">
        <v>727</v>
      </c>
      <c r="D22" s="194" t="s">
        <v>234</v>
      </c>
      <c r="E22" s="192">
        <v>1402778.0499999998</v>
      </c>
      <c r="F22" s="191"/>
      <c r="G22" s="190"/>
      <c r="H22" s="203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</row>
    <row r="23" spans="1:26" ht="19.5" customHeight="1">
      <c r="A23" s="196">
        <v>14</v>
      </c>
      <c r="B23" s="194" t="s">
        <v>726</v>
      </c>
      <c r="C23" s="194" t="s">
        <v>725</v>
      </c>
      <c r="D23" s="194" t="s">
        <v>234</v>
      </c>
      <c r="E23" s="192">
        <v>1546054.2499999998</v>
      </c>
      <c r="F23" s="191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</row>
    <row r="24" spans="1:26" ht="19.5" customHeight="1">
      <c r="A24" s="196">
        <v>15</v>
      </c>
      <c r="B24" s="194" t="s">
        <v>724</v>
      </c>
      <c r="C24" s="194" t="s">
        <v>723</v>
      </c>
      <c r="D24" s="194" t="s">
        <v>722</v>
      </c>
      <c r="E24" s="192">
        <v>37140.399999999994</v>
      </c>
      <c r="F24" s="191"/>
      <c r="G24" s="190"/>
      <c r="H24" s="203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</row>
    <row r="25" spans="1:26" ht="19.5" customHeight="1">
      <c r="A25" s="196">
        <v>16</v>
      </c>
      <c r="B25" s="194" t="s">
        <v>721</v>
      </c>
      <c r="C25" s="194" t="s">
        <v>720</v>
      </c>
      <c r="D25" s="194" t="s">
        <v>234</v>
      </c>
      <c r="E25" s="192">
        <v>1897499.9999999998</v>
      </c>
      <c r="F25" s="191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</row>
    <row r="26" spans="1:26" ht="19.5" customHeight="1">
      <c r="A26" s="196">
        <v>17</v>
      </c>
      <c r="B26" s="194" t="s">
        <v>719</v>
      </c>
      <c r="C26" s="194" t="s">
        <v>501</v>
      </c>
      <c r="D26" s="194" t="s">
        <v>189</v>
      </c>
      <c r="E26" s="192">
        <v>2255704.2999999998</v>
      </c>
      <c r="F26" s="191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</row>
    <row r="27" spans="1:26" ht="19.5" customHeight="1">
      <c r="A27" s="196">
        <v>18</v>
      </c>
      <c r="B27" s="194" t="s">
        <v>718</v>
      </c>
      <c r="C27" s="194" t="s">
        <v>717</v>
      </c>
      <c r="D27" s="194" t="s">
        <v>234</v>
      </c>
      <c r="E27" s="192">
        <v>32267.85</v>
      </c>
      <c r="F27" s="191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</row>
    <row r="28" spans="1:26" ht="19.5" customHeight="1">
      <c r="A28" s="196">
        <v>19</v>
      </c>
      <c r="B28" s="194" t="s">
        <v>716</v>
      </c>
      <c r="C28" s="194" t="s">
        <v>345</v>
      </c>
      <c r="D28" s="194" t="s">
        <v>325</v>
      </c>
      <c r="E28" s="192">
        <v>25644.999999999996</v>
      </c>
      <c r="F28" s="191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</row>
    <row r="29" spans="1:26" ht="19.5" customHeight="1">
      <c r="A29" s="196">
        <v>20</v>
      </c>
      <c r="B29" s="194" t="s">
        <v>715</v>
      </c>
      <c r="C29" s="194" t="s">
        <v>336</v>
      </c>
      <c r="D29" s="194" t="s">
        <v>234</v>
      </c>
      <c r="E29" s="192">
        <v>331040.14999999997</v>
      </c>
      <c r="F29" s="191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</row>
    <row r="30" spans="1:26" ht="19.5" customHeight="1">
      <c r="A30" s="196">
        <v>21</v>
      </c>
      <c r="B30" s="194" t="s">
        <v>714</v>
      </c>
      <c r="C30" s="194" t="s">
        <v>713</v>
      </c>
      <c r="D30" s="194" t="s">
        <v>709</v>
      </c>
      <c r="E30" s="192">
        <v>33350</v>
      </c>
      <c r="F30" s="191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</row>
    <row r="31" spans="1:26" ht="19.5" customHeight="1">
      <c r="A31" s="196">
        <v>22</v>
      </c>
      <c r="B31" s="194" t="s">
        <v>712</v>
      </c>
      <c r="C31" s="194" t="s">
        <v>335</v>
      </c>
      <c r="D31" s="194" t="s">
        <v>325</v>
      </c>
      <c r="E31" s="192">
        <v>1581.2499999999998</v>
      </c>
      <c r="F31" s="191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</row>
    <row r="32" spans="1:26" ht="19.5" customHeight="1">
      <c r="A32" s="196">
        <v>23</v>
      </c>
      <c r="B32" s="194" t="s">
        <v>711</v>
      </c>
      <c r="C32" s="194" t="s">
        <v>710</v>
      </c>
      <c r="D32" s="194" t="s">
        <v>709</v>
      </c>
      <c r="E32" s="192">
        <v>508233.3</v>
      </c>
      <c r="F32" s="191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</row>
    <row r="33" spans="1:26" ht="19.5" customHeight="1">
      <c r="A33" s="196">
        <v>24</v>
      </c>
      <c r="B33" s="194" t="s">
        <v>708</v>
      </c>
      <c r="C33" s="194" t="s">
        <v>707</v>
      </c>
      <c r="D33" s="194" t="s">
        <v>234</v>
      </c>
      <c r="E33" s="192">
        <v>130179.99999999999</v>
      </c>
      <c r="F33" s="191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</row>
    <row r="34" spans="1:26" ht="12.75" customHeight="1">
      <c r="A34" s="198">
        <v>25</v>
      </c>
      <c r="B34" s="197" t="s">
        <v>706</v>
      </c>
      <c r="C34" s="197" t="s">
        <v>705</v>
      </c>
      <c r="D34" s="197" t="s">
        <v>234</v>
      </c>
      <c r="E34" s="192">
        <v>169767.59999999998</v>
      </c>
      <c r="F34" s="191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</row>
    <row r="35" spans="1:26" ht="12.75" customHeight="1">
      <c r="A35" s="196">
        <v>26</v>
      </c>
      <c r="B35" s="194" t="s">
        <v>704</v>
      </c>
      <c r="C35" s="194" t="s">
        <v>703</v>
      </c>
      <c r="D35" s="194" t="s">
        <v>325</v>
      </c>
      <c r="E35" s="192">
        <v>55972.799999999996</v>
      </c>
      <c r="F35" s="191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</row>
    <row r="36" spans="1:26" ht="12.75" customHeight="1">
      <c r="A36" s="196">
        <v>27</v>
      </c>
      <c r="B36" s="194" t="s">
        <v>702</v>
      </c>
      <c r="C36" s="194" t="s">
        <v>701</v>
      </c>
      <c r="D36" s="194" t="s">
        <v>325</v>
      </c>
      <c r="E36" s="192">
        <v>59799.999999999993</v>
      </c>
      <c r="F36" s="191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 spans="1:26" ht="12.75" customHeight="1">
      <c r="A37" s="196">
        <v>28</v>
      </c>
      <c r="B37" s="194" t="s">
        <v>700</v>
      </c>
      <c r="C37" s="194" t="s">
        <v>699</v>
      </c>
      <c r="D37" s="194" t="s">
        <v>325</v>
      </c>
      <c r="E37" s="192">
        <v>29899.999999999996</v>
      </c>
      <c r="F37" s="191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 spans="1:26" ht="12.75" customHeight="1">
      <c r="A38" s="196">
        <v>29</v>
      </c>
      <c r="B38" s="194" t="s">
        <v>698</v>
      </c>
      <c r="C38" s="194" t="s">
        <v>697</v>
      </c>
      <c r="D38" s="194" t="s">
        <v>696</v>
      </c>
      <c r="E38" s="192">
        <v>202399.99999999997</v>
      </c>
      <c r="F38" s="191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 spans="1:26" ht="12.75" customHeight="1">
      <c r="A39" s="196">
        <v>30</v>
      </c>
      <c r="B39" s="194" t="s">
        <v>695</v>
      </c>
      <c r="C39" s="194" t="s">
        <v>694</v>
      </c>
      <c r="D39" s="194" t="s">
        <v>693</v>
      </c>
      <c r="E39" s="192">
        <v>86198.25</v>
      </c>
      <c r="F39" s="191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 spans="1:26" ht="12.75" customHeight="1">
      <c r="A40" s="202" t="s">
        <v>692</v>
      </c>
      <c r="B40" s="201" t="s">
        <v>315</v>
      </c>
      <c r="C40" s="200"/>
      <c r="D40" s="200"/>
      <c r="E40" s="199"/>
      <c r="F40" s="191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 spans="1:26" ht="12.75" customHeight="1">
      <c r="A41" s="196">
        <v>1</v>
      </c>
      <c r="B41" s="194" t="s">
        <v>691</v>
      </c>
      <c r="C41" s="194" t="s">
        <v>690</v>
      </c>
      <c r="D41" s="194" t="s">
        <v>638</v>
      </c>
      <c r="E41" s="192">
        <v>140990</v>
      </c>
      <c r="F41" s="191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 spans="1:26" ht="12.75" customHeight="1">
      <c r="A42" s="196">
        <v>2</v>
      </c>
      <c r="B42" s="194" t="s">
        <v>689</v>
      </c>
      <c r="C42" s="194" t="s">
        <v>688</v>
      </c>
      <c r="D42" s="194" t="s">
        <v>638</v>
      </c>
      <c r="E42" s="192">
        <v>15049948.155999998</v>
      </c>
      <c r="F42" s="191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 spans="1:26" ht="12.75" customHeight="1">
      <c r="A43" s="196">
        <v>3</v>
      </c>
      <c r="B43" s="194" t="s">
        <v>687</v>
      </c>
      <c r="C43" s="194" t="s">
        <v>686</v>
      </c>
      <c r="D43" s="194" t="s">
        <v>638</v>
      </c>
      <c r="E43" s="192">
        <v>598683.1</v>
      </c>
      <c r="F43" s="191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 spans="1:26" ht="12.75" customHeight="1">
      <c r="A44" s="196">
        <v>4</v>
      </c>
      <c r="B44" s="194" t="s">
        <v>685</v>
      </c>
      <c r="C44" s="194" t="s">
        <v>684</v>
      </c>
      <c r="D44" s="194" t="s">
        <v>638</v>
      </c>
      <c r="E44" s="192">
        <v>725976.6</v>
      </c>
      <c r="F44" s="191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 spans="1:26" ht="12.75" customHeight="1">
      <c r="A45" s="196">
        <v>5</v>
      </c>
      <c r="B45" s="194" t="s">
        <v>683</v>
      </c>
      <c r="C45" s="194" t="s">
        <v>682</v>
      </c>
      <c r="D45" s="194" t="s">
        <v>638</v>
      </c>
      <c r="E45" s="192">
        <v>480814.99999999994</v>
      </c>
      <c r="F45" s="191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 spans="1:26" ht="12.75" customHeight="1">
      <c r="A46" s="196">
        <v>6</v>
      </c>
      <c r="B46" s="194" t="s">
        <v>681</v>
      </c>
      <c r="C46" s="194" t="s">
        <v>312</v>
      </c>
      <c r="D46" s="194" t="s">
        <v>638</v>
      </c>
      <c r="E46" s="192">
        <v>90505</v>
      </c>
      <c r="F46" s="191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 spans="1:26" ht="12.75" customHeight="1">
      <c r="A47" s="196">
        <v>7</v>
      </c>
      <c r="B47" s="194" t="s">
        <v>680</v>
      </c>
      <c r="C47" s="194" t="s">
        <v>679</v>
      </c>
      <c r="D47" s="194" t="s">
        <v>638</v>
      </c>
      <c r="E47" s="192">
        <v>808041.74999999988</v>
      </c>
      <c r="F47" s="191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 spans="1:26" ht="12.75" customHeight="1">
      <c r="A48" s="196">
        <v>8</v>
      </c>
      <c r="B48" s="194" t="s">
        <v>678</v>
      </c>
      <c r="C48" s="194" t="s">
        <v>308</v>
      </c>
      <c r="D48" s="194" t="s">
        <v>638</v>
      </c>
      <c r="E48" s="192">
        <v>239544.99999999997</v>
      </c>
      <c r="F48" s="191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 spans="1:26" ht="12.75" customHeight="1">
      <c r="A49" s="196">
        <v>9</v>
      </c>
      <c r="B49" s="194" t="s">
        <v>677</v>
      </c>
      <c r="C49" s="194" t="s">
        <v>676</v>
      </c>
      <c r="D49" s="194" t="s">
        <v>638</v>
      </c>
      <c r="E49" s="192">
        <v>371450</v>
      </c>
      <c r="F49" s="191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spans="1:26" ht="12.75" customHeight="1">
      <c r="A50" s="196">
        <v>10</v>
      </c>
      <c r="B50" s="194" t="s">
        <v>675</v>
      </c>
      <c r="C50" s="194" t="s">
        <v>314</v>
      </c>
      <c r="D50" s="194" t="s">
        <v>638</v>
      </c>
      <c r="E50" s="192">
        <v>424349.99999999994</v>
      </c>
      <c r="F50" s="191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spans="1:26" ht="12.75" customHeight="1">
      <c r="A51" s="196">
        <v>11</v>
      </c>
      <c r="B51" s="194" t="s">
        <v>674</v>
      </c>
      <c r="C51" s="194" t="s">
        <v>673</v>
      </c>
      <c r="D51" s="194" t="s">
        <v>638</v>
      </c>
      <c r="E51" s="192">
        <v>304750</v>
      </c>
      <c r="F51" s="191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spans="1:26" ht="12.75" customHeight="1">
      <c r="A52" s="196">
        <v>12</v>
      </c>
      <c r="B52" s="194" t="s">
        <v>672</v>
      </c>
      <c r="C52" s="194" t="s">
        <v>671</v>
      </c>
      <c r="D52" s="194" t="s">
        <v>638</v>
      </c>
      <c r="E52" s="192">
        <v>583970</v>
      </c>
      <c r="F52" s="191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spans="1:26" ht="12.75" customHeight="1">
      <c r="A53" s="196">
        <v>13</v>
      </c>
      <c r="B53" s="194" t="s">
        <v>670</v>
      </c>
      <c r="C53" s="194" t="s">
        <v>669</v>
      </c>
      <c r="D53" s="194" t="s">
        <v>638</v>
      </c>
      <c r="E53" s="192">
        <v>33160.25</v>
      </c>
      <c r="F53" s="191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 spans="1:26" ht="12.75" customHeight="1">
      <c r="A54" s="195">
        <v>14</v>
      </c>
      <c r="B54" s="193" t="s">
        <v>668</v>
      </c>
      <c r="C54" s="194" t="s">
        <v>667</v>
      </c>
      <c r="D54" s="193" t="s">
        <v>638</v>
      </c>
      <c r="E54" s="192">
        <v>63417.899999999994</v>
      </c>
      <c r="F54" s="191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 spans="1:26" ht="12.75" customHeight="1">
      <c r="A55" s="196">
        <v>15</v>
      </c>
      <c r="B55" s="194" t="s">
        <v>666</v>
      </c>
      <c r="C55" s="194" t="s">
        <v>665</v>
      </c>
      <c r="D55" s="194" t="s">
        <v>638</v>
      </c>
      <c r="E55" s="192">
        <v>317089.5</v>
      </c>
      <c r="F55" s="191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 spans="1:26" ht="12.75" customHeight="1">
      <c r="A56" s="196">
        <v>16</v>
      </c>
      <c r="B56" s="194" t="s">
        <v>664</v>
      </c>
      <c r="C56" s="194" t="s">
        <v>663</v>
      </c>
      <c r="D56" s="194" t="s">
        <v>638</v>
      </c>
      <c r="E56" s="192">
        <v>664355</v>
      </c>
      <c r="F56" s="191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 spans="1:26" ht="12.75" customHeight="1">
      <c r="A57" s="196">
        <v>17</v>
      </c>
      <c r="B57" s="194" t="s">
        <v>662</v>
      </c>
      <c r="C57" s="194" t="s">
        <v>661</v>
      </c>
      <c r="D57" s="194" t="s">
        <v>638</v>
      </c>
      <c r="E57" s="192">
        <v>100564.04999999999</v>
      </c>
      <c r="F57" s="191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 spans="1:26" ht="12.75" customHeight="1">
      <c r="A58" s="196">
        <v>18</v>
      </c>
      <c r="B58" s="194" t="s">
        <v>660</v>
      </c>
      <c r="C58" s="194" t="s">
        <v>659</v>
      </c>
      <c r="D58" s="194" t="s">
        <v>638</v>
      </c>
      <c r="E58" s="192">
        <v>462717.44999999995</v>
      </c>
      <c r="F58" s="191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 spans="1:26" ht="12.75" customHeight="1">
      <c r="A59" s="196">
        <v>19</v>
      </c>
      <c r="B59" s="194" t="s">
        <v>658</v>
      </c>
      <c r="C59" s="194" t="s">
        <v>657</v>
      </c>
      <c r="D59" s="194" t="s">
        <v>638</v>
      </c>
      <c r="E59" s="192">
        <v>57719.649999999994</v>
      </c>
      <c r="F59" s="191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 spans="1:26" ht="12.75" customHeight="1">
      <c r="A60" s="196">
        <v>20</v>
      </c>
      <c r="B60" s="194" t="s">
        <v>656</v>
      </c>
      <c r="C60" s="194" t="s">
        <v>655</v>
      </c>
      <c r="D60" s="194" t="s">
        <v>638</v>
      </c>
      <c r="E60" s="192">
        <v>338100</v>
      </c>
      <c r="F60" s="191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 spans="1:26" ht="12.75" customHeight="1">
      <c r="A61" s="196">
        <v>21</v>
      </c>
      <c r="B61" s="194" t="s">
        <v>654</v>
      </c>
      <c r="C61" s="194" t="s">
        <v>305</v>
      </c>
      <c r="D61" s="194" t="s">
        <v>638</v>
      </c>
      <c r="E61" s="192">
        <v>554889.94999999995</v>
      </c>
      <c r="F61" s="191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 spans="1:26" ht="12.75" customHeight="1">
      <c r="A62" s="196">
        <v>22</v>
      </c>
      <c r="B62" s="194" t="s">
        <v>653</v>
      </c>
      <c r="C62" s="194" t="s">
        <v>306</v>
      </c>
      <c r="D62" s="194" t="s">
        <v>638</v>
      </c>
      <c r="E62" s="192">
        <v>606484.69999999995</v>
      </c>
      <c r="F62" s="191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 spans="1:26" ht="12.75" customHeight="1">
      <c r="A63" s="196">
        <v>23</v>
      </c>
      <c r="B63" s="194" t="s">
        <v>652</v>
      </c>
      <c r="C63" s="194" t="s">
        <v>651</v>
      </c>
      <c r="D63" s="194" t="s">
        <v>638</v>
      </c>
      <c r="E63" s="192">
        <v>1724.9999999999998</v>
      </c>
      <c r="F63" s="191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 spans="1:26" ht="12.75" customHeight="1">
      <c r="A64" s="196">
        <v>24</v>
      </c>
      <c r="B64" s="194" t="s">
        <v>650</v>
      </c>
      <c r="C64" s="194" t="s">
        <v>649</v>
      </c>
      <c r="D64" s="194" t="s">
        <v>638</v>
      </c>
      <c r="E64" s="192">
        <v>338100</v>
      </c>
      <c r="F64" s="191"/>
      <c r="G64" s="190"/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 spans="1:26" ht="12.75" customHeight="1">
      <c r="A65" s="196">
        <v>25</v>
      </c>
      <c r="B65" s="194" t="s">
        <v>648</v>
      </c>
      <c r="C65" s="194" t="s">
        <v>647</v>
      </c>
      <c r="D65" s="194" t="s">
        <v>638</v>
      </c>
      <c r="E65" s="192">
        <v>272090</v>
      </c>
      <c r="F65" s="191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 spans="1:26" ht="12.75" customHeight="1">
      <c r="A66" s="196">
        <v>26</v>
      </c>
      <c r="B66" s="194" t="s">
        <v>646</v>
      </c>
      <c r="C66" s="194" t="s">
        <v>645</v>
      </c>
      <c r="D66" s="194" t="s">
        <v>638</v>
      </c>
      <c r="E66" s="192">
        <v>272090</v>
      </c>
      <c r="F66" s="191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 spans="1:26" ht="12.75" customHeight="1">
      <c r="A67" s="196">
        <v>27</v>
      </c>
      <c r="B67" s="194" t="s">
        <v>644</v>
      </c>
      <c r="C67" s="194" t="s">
        <v>643</v>
      </c>
      <c r="D67" s="194" t="s">
        <v>638</v>
      </c>
      <c r="E67" s="192">
        <v>396749.99999999994</v>
      </c>
      <c r="F67" s="191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 spans="1:26" ht="12.75" customHeight="1">
      <c r="A68" s="196">
        <v>28</v>
      </c>
      <c r="B68" s="194" t="s">
        <v>642</v>
      </c>
      <c r="C68" s="194" t="s">
        <v>641</v>
      </c>
      <c r="D68" s="194" t="s">
        <v>638</v>
      </c>
      <c r="E68" s="192">
        <v>3973.2499999999995</v>
      </c>
      <c r="F68" s="191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 spans="1:26" ht="12.75" customHeight="1">
      <c r="A69" s="196">
        <v>29</v>
      </c>
      <c r="B69" s="194" t="s">
        <v>640</v>
      </c>
      <c r="C69" s="194" t="s">
        <v>639</v>
      </c>
      <c r="D69" s="194" t="s">
        <v>638</v>
      </c>
      <c r="E69" s="192">
        <v>509993.94999999995</v>
      </c>
      <c r="F69" s="191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 spans="1:26" ht="12.75" customHeight="1">
      <c r="A70" s="198">
        <v>30</v>
      </c>
      <c r="B70" s="197" t="s">
        <v>637</v>
      </c>
      <c r="C70" s="197" t="s">
        <v>310</v>
      </c>
      <c r="D70" s="197" t="s">
        <v>303</v>
      </c>
      <c r="E70" s="192">
        <v>50415.999999999993</v>
      </c>
      <c r="F70" s="191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 spans="1:26" ht="12.75" customHeight="1">
      <c r="A71" s="196">
        <v>31</v>
      </c>
      <c r="B71" s="194" t="s">
        <v>636</v>
      </c>
      <c r="C71" s="194" t="s">
        <v>635</v>
      </c>
      <c r="D71" s="194" t="s">
        <v>303</v>
      </c>
      <c r="E71" s="192">
        <v>1019474.9999999999</v>
      </c>
      <c r="F71" s="191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 spans="1:26" ht="12.75" customHeight="1">
      <c r="A72" s="195">
        <v>32</v>
      </c>
      <c r="B72" s="193" t="s">
        <v>634</v>
      </c>
      <c r="C72" s="194" t="s">
        <v>633</v>
      </c>
      <c r="D72" s="193" t="s">
        <v>303</v>
      </c>
      <c r="E72" s="192">
        <v>1511257.5499999998</v>
      </c>
      <c r="F72" s="191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 spans="1:26" ht="12.75" customHeight="1">
      <c r="A73" s="190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 spans="1:26" ht="12.75" customHeight="1">
      <c r="A74" s="190"/>
      <c r="B74" s="190"/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 spans="1:26" ht="12.75" customHeight="1">
      <c r="A75" s="190"/>
      <c r="B75" s="190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 spans="1:26" ht="12.75" customHeight="1">
      <c r="A76" s="190"/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 spans="1:26" ht="12.75" customHeight="1">
      <c r="A77" s="190"/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 spans="1:26" ht="12.75" customHeight="1">
      <c r="A78" s="190"/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 spans="1:26" ht="12.75" customHeight="1">
      <c r="A79" s="190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 spans="1:26" ht="12.75" customHeight="1">
      <c r="A80" s="190"/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 spans="1:26" ht="12.75" customHeight="1">
      <c r="A81" s="190"/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 spans="1:26" ht="12.75" customHeight="1">
      <c r="A82" s="190"/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 spans="1:26" ht="12.75" customHeight="1">
      <c r="A83" s="190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 spans="1:26" ht="12.75" customHeight="1">
      <c r="A84" s="190"/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 spans="1:26" ht="12.75" customHeight="1">
      <c r="A85" s="190"/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 spans="1:26" ht="12.75" customHeight="1">
      <c r="A86" s="190"/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 spans="1:26" ht="12.75" customHeight="1">
      <c r="A87" s="190"/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spans="1:26" ht="12.75" customHeight="1">
      <c r="A88" s="190"/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 spans="1:26" ht="12.75" customHeight="1">
      <c r="A89" s="190"/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 spans="1:26" ht="12.75" customHeight="1">
      <c r="A90" s="190"/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 spans="1:26" ht="12.75" customHeight="1">
      <c r="A91" s="190"/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 spans="1:26" ht="12.75" customHeight="1">
      <c r="A92" s="190"/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 spans="1:26" ht="12.75" customHeight="1">
      <c r="A93" s="190"/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 spans="1:26" ht="12.75" customHeight="1">
      <c r="A94" s="190"/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 spans="1:26" ht="12.75" customHeight="1">
      <c r="A95" s="190"/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 spans="1:26" ht="12.75" customHeight="1">
      <c r="A96" s="190"/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 spans="1:26" ht="12.75" customHeight="1">
      <c r="A97" s="190"/>
      <c r="B97" s="190"/>
      <c r="C97" s="190"/>
      <c r="D97" s="190"/>
      <c r="E97" s="190"/>
      <c r="F97" s="190"/>
      <c r="G97" s="190"/>
      <c r="H97" s="190"/>
      <c r="I97" s="190"/>
      <c r="J97" s="190"/>
      <c r="K97" s="190"/>
      <c r="L97" s="190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 spans="1:26" ht="12.75" customHeight="1">
      <c r="A98" s="190"/>
      <c r="B98" s="190"/>
      <c r="C98" s="190"/>
      <c r="D98" s="190"/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 spans="1:26" ht="12.75" customHeight="1">
      <c r="A99" s="190"/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 spans="1:26" ht="12.75" customHeight="1">
      <c r="A100" s="190"/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 spans="1:26" ht="12.75" customHeight="1">
      <c r="A101" s="190"/>
      <c r="B101" s="190"/>
      <c r="C101" s="190"/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 spans="1:26" ht="12.75" customHeight="1">
      <c r="A102" s="190"/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 spans="1:26" ht="12.75" customHeight="1">
      <c r="A103" s="190"/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 spans="1:26" ht="12.75" customHeight="1">
      <c r="A104" s="190"/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 spans="1:26" ht="12.75" customHeight="1">
      <c r="A105" s="190"/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 spans="1:26" ht="12.75" customHeight="1">
      <c r="A106" s="190"/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 spans="1:26" ht="12.75" customHeight="1">
      <c r="A107" s="190"/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 spans="1:26" ht="12.75" customHeight="1">
      <c r="A108" s="190"/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 spans="1:26" ht="12.75" customHeight="1">
      <c r="A109" s="190"/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 spans="1:26" ht="12.75" customHeight="1">
      <c r="A110" s="190"/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 spans="1:26" ht="12.75" customHeight="1">
      <c r="A111" s="190"/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 spans="1:26" ht="12.75" customHeight="1">
      <c r="A112" s="190"/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 spans="1:26" ht="12.75" customHeight="1">
      <c r="A113" s="190"/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 spans="1:26" ht="12.75" customHeight="1">
      <c r="A114" s="190"/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 spans="1:26" ht="12.75" customHeight="1">
      <c r="A115" s="190"/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 spans="1:26" ht="12.75" customHeight="1">
      <c r="A116" s="190"/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 spans="1:26" ht="12.75" customHeight="1">
      <c r="A117" s="190"/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 spans="1:26" ht="12.75" customHeight="1">
      <c r="A118" s="190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 spans="1:26" ht="12.75" customHeight="1">
      <c r="A119" s="190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 spans="1:26" ht="12.75" customHeight="1">
      <c r="A120" s="190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 spans="1:26" ht="12.75" customHeight="1">
      <c r="A121" s="190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 spans="1:26" ht="12.75" customHeight="1">
      <c r="A122" s="190"/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 spans="1:26" ht="12.75" customHeight="1">
      <c r="A123" s="190"/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 spans="1:26" ht="12.75" customHeight="1">
      <c r="A124" s="190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 spans="1:26" ht="12.75" customHeight="1">
      <c r="A125" s="190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spans="1:26" ht="12.75" customHeight="1">
      <c r="A126" s="190"/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 spans="1:26" ht="12.75" customHeight="1">
      <c r="A127" s="190"/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 spans="1:26" ht="12.75" customHeight="1">
      <c r="A128" s="190"/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 spans="1:26" ht="12.75" customHeight="1">
      <c r="A129" s="190"/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 spans="1:26" ht="12.75" customHeight="1">
      <c r="A130" s="190"/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 spans="1:26" ht="12.75" customHeight="1">
      <c r="A131" s="190"/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 spans="1:26" ht="12.75" customHeight="1">
      <c r="A132" s="190"/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 spans="1:26" ht="12.75" customHeight="1">
      <c r="A133" s="190"/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 spans="1:26" ht="12.75" customHeight="1">
      <c r="A134" s="190"/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 spans="1:26" ht="12.75" customHeight="1">
      <c r="A135" s="190"/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 spans="1:26" ht="12.75" customHeight="1">
      <c r="A136" s="190"/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 spans="1:26" ht="12.75" customHeight="1">
      <c r="A137" s="190"/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 spans="1:26" ht="12.75" customHeight="1">
      <c r="A138" s="190"/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 spans="1:26" ht="12.75" customHeight="1">
      <c r="A139" s="190"/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 spans="1:26" ht="12.75" customHeight="1">
      <c r="A140" s="190"/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 spans="1:26" ht="12.75" customHeight="1">
      <c r="A141" s="190"/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 spans="1:26" ht="12.75" customHeight="1">
      <c r="A142" s="190"/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 spans="1:26" ht="12.75" customHeight="1">
      <c r="A143" s="190"/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 spans="1:26" ht="12.75" customHeight="1">
      <c r="A144" s="190"/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 spans="1:26" ht="12.75" customHeight="1">
      <c r="A145" s="190"/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 spans="1:26" ht="12.75" customHeight="1">
      <c r="A146" s="190"/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 spans="1:26" ht="12.75" customHeight="1">
      <c r="A147" s="190"/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 spans="1:26" ht="12.75" customHeight="1">
      <c r="A148" s="190"/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 spans="1:26" ht="12.75" customHeight="1">
      <c r="A149" s="190"/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 spans="1:26" ht="12.75" customHeight="1">
      <c r="A150" s="190"/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 spans="1:26" ht="12.75" customHeight="1">
      <c r="A151" s="190"/>
      <c r="B151" s="190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 spans="1:26" ht="12.75" customHeight="1">
      <c r="A152" s="190"/>
      <c r="B152" s="190"/>
      <c r="C152" s="190"/>
      <c r="D152" s="190"/>
      <c r="E152" s="190"/>
      <c r="F152" s="190"/>
      <c r="G152" s="190"/>
      <c r="H152" s="190"/>
      <c r="I152" s="190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 spans="1:26" ht="12.75" customHeight="1">
      <c r="A153" s="190"/>
      <c r="B153" s="190"/>
      <c r="C153" s="190"/>
      <c r="D153" s="190"/>
      <c r="E153" s="190"/>
      <c r="F153" s="190"/>
      <c r="G153" s="190"/>
      <c r="H153" s="190"/>
      <c r="I153" s="190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 spans="1:26" ht="12.75" customHeight="1">
      <c r="A154" s="190"/>
      <c r="B154" s="190"/>
      <c r="C154" s="190"/>
      <c r="D154" s="190"/>
      <c r="E154" s="190"/>
      <c r="F154" s="190"/>
      <c r="G154" s="190"/>
      <c r="H154" s="190"/>
      <c r="I154" s="190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 spans="1:26" ht="12.75" customHeight="1">
      <c r="A155" s="190"/>
      <c r="B155" s="190"/>
      <c r="C155" s="190"/>
      <c r="D155" s="190"/>
      <c r="E155" s="190"/>
      <c r="F155" s="190"/>
      <c r="G155" s="190"/>
      <c r="H155" s="190"/>
      <c r="I155" s="190"/>
      <c r="J155" s="190"/>
      <c r="K155" s="190"/>
      <c r="L155" s="190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 spans="1:26" ht="12.75" customHeight="1">
      <c r="A156" s="190"/>
      <c r="B156" s="190"/>
      <c r="C156" s="190"/>
      <c r="D156" s="190"/>
      <c r="E156" s="190"/>
      <c r="F156" s="190"/>
      <c r="G156" s="190"/>
      <c r="H156" s="190"/>
      <c r="I156" s="190"/>
      <c r="J156" s="190"/>
      <c r="K156" s="190"/>
      <c r="L156" s="190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 spans="1:26" ht="12.75" customHeight="1">
      <c r="A157" s="190"/>
      <c r="B157" s="190"/>
      <c r="C157" s="190"/>
      <c r="D157" s="190"/>
      <c r="E157" s="190"/>
      <c r="F157" s="190"/>
      <c r="G157" s="190"/>
      <c r="H157" s="190"/>
      <c r="I157" s="190"/>
      <c r="J157" s="190"/>
      <c r="K157" s="190"/>
      <c r="L157" s="190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 spans="1:26" ht="12.75" customHeight="1">
      <c r="A158" s="190"/>
      <c r="B158" s="190"/>
      <c r="C158" s="190"/>
      <c r="D158" s="190"/>
      <c r="E158" s="190"/>
      <c r="F158" s="190"/>
      <c r="G158" s="190"/>
      <c r="H158" s="190"/>
      <c r="I158" s="190"/>
      <c r="J158" s="190"/>
      <c r="K158" s="190"/>
      <c r="L158" s="190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 spans="1:26" ht="12.75" customHeight="1">
      <c r="A159" s="190"/>
      <c r="B159" s="190"/>
      <c r="C159" s="190"/>
      <c r="D159" s="190"/>
      <c r="E159" s="190"/>
      <c r="F159" s="190"/>
      <c r="G159" s="190"/>
      <c r="H159" s="190"/>
      <c r="I159" s="190"/>
      <c r="J159" s="190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 spans="1:26" ht="12.75" customHeight="1">
      <c r="A160" s="190"/>
      <c r="B160" s="190"/>
      <c r="C160" s="190"/>
      <c r="D160" s="190"/>
      <c r="E160" s="190"/>
      <c r="F160" s="190"/>
      <c r="G160" s="190"/>
      <c r="H160" s="190"/>
      <c r="I160" s="190"/>
      <c r="J160" s="190"/>
      <c r="K160" s="190"/>
      <c r="L160" s="190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 spans="1:26" ht="12.75" customHeight="1">
      <c r="A161" s="190"/>
      <c r="B161" s="190"/>
      <c r="C161" s="190"/>
      <c r="D161" s="190"/>
      <c r="E161" s="190"/>
      <c r="F161" s="190"/>
      <c r="G161" s="190"/>
      <c r="H161" s="190"/>
      <c r="I161" s="190"/>
      <c r="J161" s="190"/>
      <c r="K161" s="190"/>
      <c r="L161" s="190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 spans="1:26" ht="12.75" customHeight="1">
      <c r="A162" s="190"/>
      <c r="B162" s="190"/>
      <c r="C162" s="190"/>
      <c r="D162" s="190"/>
      <c r="E162" s="190"/>
      <c r="F162" s="190"/>
      <c r="G162" s="190"/>
      <c r="H162" s="190"/>
      <c r="I162" s="190"/>
      <c r="J162" s="190"/>
      <c r="K162" s="190"/>
      <c r="L162" s="190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 spans="1:26" ht="12.75" customHeight="1">
      <c r="A163" s="190"/>
      <c r="B163" s="190"/>
      <c r="C163" s="190"/>
      <c r="D163" s="190"/>
      <c r="E163" s="190"/>
      <c r="F163" s="190"/>
      <c r="G163" s="190"/>
      <c r="H163" s="190"/>
      <c r="I163" s="190"/>
      <c r="J163" s="190"/>
      <c r="K163" s="190"/>
      <c r="L163" s="190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 spans="1:26" ht="12.75" customHeight="1">
      <c r="A164" s="190"/>
      <c r="B164" s="190"/>
      <c r="C164" s="190"/>
      <c r="D164" s="190"/>
      <c r="E164" s="190"/>
      <c r="F164" s="190"/>
      <c r="G164" s="190"/>
      <c r="H164" s="190"/>
      <c r="I164" s="190"/>
      <c r="J164" s="190"/>
      <c r="K164" s="190"/>
      <c r="L164" s="190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 spans="1:26" ht="12.75" customHeight="1">
      <c r="A165" s="190"/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 spans="1:26" ht="12.75" customHeight="1">
      <c r="A166" s="190"/>
      <c r="B166" s="190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 spans="1:26" ht="12.75" customHeight="1">
      <c r="A167" s="190"/>
      <c r="B167" s="190"/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 spans="1:26" ht="12.75" customHeight="1">
      <c r="A168" s="190"/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 spans="1:26" ht="12.75" customHeight="1">
      <c r="A169" s="190"/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 spans="1:26" ht="12.75" customHeight="1">
      <c r="A170" s="190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 spans="1:26" ht="12.75" customHeight="1">
      <c r="A171" s="190"/>
      <c r="B171" s="190"/>
      <c r="C171" s="190"/>
      <c r="D171" s="190"/>
      <c r="E171" s="190"/>
      <c r="F171" s="190"/>
      <c r="G171" s="190"/>
      <c r="H171" s="190"/>
      <c r="I171" s="190"/>
      <c r="J171" s="190"/>
      <c r="K171" s="190"/>
      <c r="L171" s="190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 spans="1:26" ht="12.75" customHeight="1">
      <c r="A172" s="190"/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 spans="1:26" ht="12.75" customHeight="1">
      <c r="A173" s="190"/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 spans="1:26" ht="12.75" customHeight="1">
      <c r="A174" s="190"/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 spans="1:26" ht="12.75" customHeight="1">
      <c r="A175" s="190"/>
      <c r="B175" s="190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 spans="1:26" ht="12.75" customHeight="1">
      <c r="A176" s="190"/>
      <c r="B176" s="190"/>
      <c r="C176" s="190"/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 spans="1:26" ht="12.75" customHeight="1">
      <c r="A177" s="190"/>
      <c r="B177" s="190"/>
      <c r="C177" s="190"/>
      <c r="D177" s="190"/>
      <c r="E177" s="190"/>
      <c r="F177" s="190"/>
      <c r="G177" s="190"/>
      <c r="H177" s="190"/>
      <c r="I177" s="190"/>
      <c r="J177" s="190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 spans="1:26" ht="12.75" customHeight="1">
      <c r="A178" s="190"/>
      <c r="B178" s="190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 spans="1:26" ht="12.75" customHeight="1">
      <c r="A179" s="190"/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 spans="1:26" ht="12.75" customHeight="1">
      <c r="A180" s="190"/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 spans="1:26" ht="12.75" customHeight="1">
      <c r="A181" s="190"/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 spans="1:26" ht="12.75" customHeight="1">
      <c r="A182" s="190"/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 spans="1:26" ht="12.75" customHeight="1">
      <c r="A183" s="190"/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 spans="1:26" ht="12.75" customHeight="1">
      <c r="A184" s="190"/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 spans="1:26" ht="12.75" customHeight="1">
      <c r="A185" s="190"/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 spans="1:26" ht="12.75" customHeight="1">
      <c r="A186" s="190"/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 spans="1:26" ht="12.75" customHeight="1">
      <c r="A187" s="190"/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 spans="1:26" ht="12.75" customHeight="1">
      <c r="A188" s="190"/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 spans="1:26" ht="12.75" customHeight="1">
      <c r="A189" s="190"/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 spans="1:26" ht="12.75" customHeight="1">
      <c r="A190" s="190"/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 spans="1:26" ht="12.75" customHeight="1">
      <c r="A191" s="190"/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 spans="1:26" ht="12.75" customHeight="1">
      <c r="A192" s="190"/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 spans="1:26" ht="12.75" customHeight="1">
      <c r="A193" s="190"/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 spans="1:26" ht="12.75" customHeight="1">
      <c r="A194" s="190"/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 spans="1:26" ht="12.75" customHeight="1">
      <c r="A195" s="190"/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 spans="1:26" ht="12.75" customHeight="1">
      <c r="A196" s="190"/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 spans="1:26" ht="12.75" customHeight="1">
      <c r="A197" s="190"/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 spans="1:26" ht="12.75" customHeight="1">
      <c r="A198" s="190"/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 spans="1:26" ht="12.75" customHeight="1">
      <c r="A199" s="190"/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 spans="1:26" ht="12.75" customHeight="1">
      <c r="A200" s="190"/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 spans="1:26" ht="12.75" customHeight="1">
      <c r="A201" s="190"/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 spans="1:26" ht="12.75" customHeight="1">
      <c r="A202" s="190"/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 spans="1:26" ht="12.75" customHeight="1">
      <c r="A203" s="190"/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 spans="1:26" ht="12.75" customHeight="1">
      <c r="A204" s="190"/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 spans="1:26" ht="12.75" customHeight="1">
      <c r="A205" s="190"/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 spans="1:26" ht="12.75" customHeight="1">
      <c r="A206" s="190"/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 spans="1:26" ht="12.75" customHeight="1">
      <c r="A207" s="190"/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 spans="1:26" ht="12.75" customHeight="1">
      <c r="A208" s="190"/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 spans="1:26" ht="12.75" customHeight="1">
      <c r="A209" s="190"/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 spans="1:26" ht="12.75" customHeight="1">
      <c r="A210" s="190"/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 spans="1:26" ht="12.75" customHeight="1">
      <c r="A211" s="190"/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 spans="1:26" ht="12.75" customHeight="1">
      <c r="A212" s="190"/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 spans="1:26" ht="12.75" customHeight="1">
      <c r="A213" s="190"/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 spans="1:26" ht="12.75" customHeight="1">
      <c r="A214" s="190"/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 spans="1:26" ht="12.75" customHeight="1">
      <c r="A215" s="190"/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 spans="1:26" ht="12.75" customHeight="1">
      <c r="A216" s="190"/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 spans="1:26" ht="12.75" customHeight="1">
      <c r="A217" s="190"/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 spans="1:26" ht="12.75" customHeight="1">
      <c r="A218" s="190"/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 spans="1:26" ht="12.75" customHeight="1">
      <c r="A219" s="190"/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 spans="1:26" ht="12.75" customHeight="1">
      <c r="A220" s="190"/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 spans="1:26" ht="12.75" customHeight="1">
      <c r="A221" s="190"/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 spans="1:26" ht="12.75" customHeight="1">
      <c r="A222" s="190"/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 spans="1:26" ht="12.75" customHeight="1">
      <c r="A223" s="190"/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 spans="1:26" ht="12.75" customHeight="1">
      <c r="A224" s="190"/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 spans="1:26" ht="12.75" customHeight="1">
      <c r="A225" s="190"/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 spans="1:26" ht="12.75" customHeight="1">
      <c r="A226" s="190"/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 spans="1:26" ht="12.75" customHeight="1">
      <c r="A227" s="190"/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 spans="1:26" ht="12.75" customHeight="1">
      <c r="A228" s="190"/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 spans="1:26" ht="12.75" customHeight="1">
      <c r="A229" s="190"/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 spans="1:26" ht="12.75" customHeight="1">
      <c r="A230" s="190"/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 spans="1:26" ht="12.75" customHeight="1">
      <c r="A231" s="190"/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 spans="1:26" ht="12.75" customHeight="1">
      <c r="A232" s="190"/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 spans="1:26" ht="12.75" customHeight="1">
      <c r="A233" s="190"/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 spans="1:26" ht="12.75" customHeight="1">
      <c r="A234" s="190"/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 spans="1:26" ht="12.75" customHeight="1">
      <c r="A235" s="190"/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 spans="1:26" ht="12.75" customHeight="1">
      <c r="A236" s="190"/>
      <c r="B236" s="190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 spans="1:26" ht="12.75" customHeight="1">
      <c r="A237" s="190"/>
      <c r="B237" s="190"/>
      <c r="C237" s="190"/>
      <c r="D237" s="190"/>
      <c r="E237" s="190"/>
      <c r="F237" s="190"/>
      <c r="G237" s="190"/>
      <c r="H237" s="190"/>
      <c r="I237" s="190"/>
      <c r="J237" s="190"/>
      <c r="K237" s="190"/>
      <c r="L237" s="190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 spans="1:26" ht="12.75" customHeight="1">
      <c r="A238" s="190"/>
      <c r="B238" s="190"/>
      <c r="C238" s="190"/>
      <c r="D238" s="190"/>
      <c r="E238" s="190"/>
      <c r="F238" s="190"/>
      <c r="G238" s="190"/>
      <c r="H238" s="190"/>
      <c r="I238" s="190"/>
      <c r="J238" s="190"/>
      <c r="K238" s="190"/>
      <c r="L238" s="190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 spans="1:26" ht="12.75" customHeight="1">
      <c r="A239" s="190"/>
      <c r="B239" s="190"/>
      <c r="C239" s="190"/>
      <c r="D239" s="190"/>
      <c r="E239" s="190"/>
      <c r="F239" s="190"/>
      <c r="G239" s="190"/>
      <c r="H239" s="190"/>
      <c r="I239" s="190"/>
      <c r="J239" s="190"/>
      <c r="K239" s="190"/>
      <c r="L239" s="190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 spans="1:26" ht="12.75" customHeight="1">
      <c r="A240" s="190"/>
      <c r="B240" s="190"/>
      <c r="C240" s="190"/>
      <c r="D240" s="190"/>
      <c r="E240" s="190"/>
      <c r="F240" s="190"/>
      <c r="G240" s="190"/>
      <c r="H240" s="190"/>
      <c r="I240" s="190"/>
      <c r="J240" s="190"/>
      <c r="K240" s="190"/>
      <c r="L240" s="190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 spans="1:26" ht="12.75" customHeight="1">
      <c r="A241" s="190"/>
      <c r="B241" s="190"/>
      <c r="C241" s="190"/>
      <c r="D241" s="190"/>
      <c r="E241" s="190"/>
      <c r="F241" s="190"/>
      <c r="G241" s="190"/>
      <c r="H241" s="190"/>
      <c r="I241" s="190"/>
      <c r="J241" s="190"/>
      <c r="K241" s="190"/>
      <c r="L241" s="190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 spans="1:26" ht="12.75" customHeight="1">
      <c r="A242" s="190"/>
      <c r="B242" s="190"/>
      <c r="C242" s="190"/>
      <c r="D242" s="190"/>
      <c r="E242" s="190"/>
      <c r="F242" s="190"/>
      <c r="G242" s="190"/>
      <c r="H242" s="190"/>
      <c r="I242" s="190"/>
      <c r="J242" s="190"/>
      <c r="K242" s="190"/>
      <c r="L242" s="190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 spans="1:26" ht="12.75" customHeight="1">
      <c r="A243" s="190"/>
      <c r="B243" s="190"/>
      <c r="C243" s="190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 spans="1:26" ht="12.75" customHeight="1">
      <c r="A244" s="190"/>
      <c r="B244" s="190"/>
      <c r="C244" s="190"/>
      <c r="D244" s="190"/>
      <c r="E244" s="190"/>
      <c r="F244" s="190"/>
      <c r="G244" s="190"/>
      <c r="H244" s="190"/>
      <c r="I244" s="190"/>
      <c r="J244" s="190"/>
      <c r="K244" s="190"/>
      <c r="L244" s="190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 spans="1:26" ht="12.75" customHeight="1">
      <c r="A245" s="190"/>
      <c r="B245" s="190"/>
      <c r="C245" s="190"/>
      <c r="D245" s="190"/>
      <c r="E245" s="190"/>
      <c r="F245" s="190"/>
      <c r="G245" s="190"/>
      <c r="H245" s="190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 spans="1:26" ht="12.75" customHeight="1">
      <c r="A246" s="190"/>
      <c r="B246" s="190"/>
      <c r="C246" s="190"/>
      <c r="D246" s="190"/>
      <c r="E246" s="190"/>
      <c r="F246" s="190"/>
      <c r="G246" s="190"/>
      <c r="H246" s="190"/>
      <c r="I246" s="190"/>
      <c r="J246" s="190"/>
      <c r="K246" s="190"/>
      <c r="L246" s="190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 spans="1:26" ht="12.75" customHeight="1">
      <c r="A247" s="190"/>
      <c r="B247" s="190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 spans="1:26" ht="12.75" customHeight="1">
      <c r="A248" s="190"/>
      <c r="B248" s="190"/>
      <c r="C248" s="190"/>
      <c r="D248" s="190"/>
      <c r="E248" s="190"/>
      <c r="F248" s="190"/>
      <c r="G248" s="190"/>
      <c r="H248" s="190"/>
      <c r="I248" s="190"/>
      <c r="J248" s="190"/>
      <c r="K248" s="190"/>
      <c r="L248" s="190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 spans="1:26" ht="12.75" customHeight="1">
      <c r="A249" s="190"/>
      <c r="B249" s="190"/>
      <c r="C249" s="190"/>
      <c r="D249" s="190"/>
      <c r="E249" s="190"/>
      <c r="F249" s="190"/>
      <c r="G249" s="190"/>
      <c r="H249" s="190"/>
      <c r="I249" s="190"/>
      <c r="J249" s="190"/>
      <c r="K249" s="190"/>
      <c r="L249" s="190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 spans="1:26" ht="12.75" customHeight="1">
      <c r="A250" s="190"/>
      <c r="B250" s="190"/>
      <c r="C250" s="190"/>
      <c r="D250" s="190"/>
      <c r="E250" s="190"/>
      <c r="F250" s="190"/>
      <c r="G250" s="190"/>
      <c r="H250" s="190"/>
      <c r="I250" s="190"/>
      <c r="J250" s="190"/>
      <c r="K250" s="190"/>
      <c r="L250" s="190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 spans="1:26" ht="12.75" customHeight="1">
      <c r="A251" s="190"/>
      <c r="B251" s="190"/>
      <c r="C251" s="190"/>
      <c r="D251" s="190"/>
      <c r="E251" s="190"/>
      <c r="F251" s="190"/>
      <c r="G251" s="190"/>
      <c r="H251" s="190"/>
      <c r="I251" s="190"/>
      <c r="J251" s="190"/>
      <c r="K251" s="190"/>
      <c r="L251" s="190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 spans="1:26" ht="12.75" customHeight="1">
      <c r="A252" s="190"/>
      <c r="B252" s="190"/>
      <c r="C252" s="190"/>
      <c r="D252" s="190"/>
      <c r="E252" s="190"/>
      <c r="F252" s="190"/>
      <c r="G252" s="190"/>
      <c r="H252" s="190"/>
      <c r="I252" s="190"/>
      <c r="J252" s="190"/>
      <c r="K252" s="190"/>
      <c r="L252" s="190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 spans="1:26" ht="12.75" customHeight="1">
      <c r="A253" s="190"/>
      <c r="B253" s="190"/>
      <c r="C253" s="190"/>
      <c r="D253" s="190"/>
      <c r="E253" s="190"/>
      <c r="F253" s="190"/>
      <c r="G253" s="190"/>
      <c r="H253" s="190"/>
      <c r="I253" s="190"/>
      <c r="J253" s="190"/>
      <c r="K253" s="190"/>
      <c r="L253" s="190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 spans="1:26" ht="12.75" customHeight="1">
      <c r="A254" s="190"/>
      <c r="B254" s="190"/>
      <c r="C254" s="190"/>
      <c r="D254" s="190"/>
      <c r="E254" s="190"/>
      <c r="F254" s="190"/>
      <c r="G254" s="190"/>
      <c r="H254" s="190"/>
      <c r="I254" s="190"/>
      <c r="J254" s="190"/>
      <c r="K254" s="190"/>
      <c r="L254" s="190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 spans="1:26" ht="12.75" customHeight="1">
      <c r="A255" s="190"/>
      <c r="B255" s="190"/>
      <c r="C255" s="190"/>
      <c r="D255" s="190"/>
      <c r="E255" s="190"/>
      <c r="F255" s="190"/>
      <c r="G255" s="190"/>
      <c r="H255" s="190"/>
      <c r="I255" s="190"/>
      <c r="J255" s="190"/>
      <c r="K255" s="190"/>
      <c r="L255" s="190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 spans="1:26" ht="12.75" customHeight="1">
      <c r="A256" s="190"/>
      <c r="B256" s="190"/>
      <c r="C256" s="190"/>
      <c r="D256" s="190"/>
      <c r="E256" s="190"/>
      <c r="F256" s="190"/>
      <c r="G256" s="190"/>
      <c r="H256" s="190"/>
      <c r="I256" s="190"/>
      <c r="J256" s="190"/>
      <c r="K256" s="190"/>
      <c r="L256" s="190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 spans="1:26" ht="12.75" customHeight="1">
      <c r="A257" s="190"/>
      <c r="B257" s="190"/>
      <c r="C257" s="190"/>
      <c r="D257" s="190"/>
      <c r="E257" s="190"/>
      <c r="F257" s="190"/>
      <c r="G257" s="190"/>
      <c r="H257" s="190"/>
      <c r="I257" s="190"/>
      <c r="J257" s="190"/>
      <c r="K257" s="190"/>
      <c r="L257" s="190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 spans="1:26" ht="12.75" customHeight="1">
      <c r="A258" s="190"/>
      <c r="B258" s="190"/>
      <c r="C258" s="190"/>
      <c r="D258" s="190"/>
      <c r="E258" s="190"/>
      <c r="F258" s="190"/>
      <c r="G258" s="190"/>
      <c r="H258" s="190"/>
      <c r="I258" s="190"/>
      <c r="J258" s="190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 spans="1:26" ht="12.75" customHeight="1">
      <c r="A259" s="190"/>
      <c r="B259" s="190"/>
      <c r="C259" s="190"/>
      <c r="D259" s="190"/>
      <c r="E259" s="190"/>
      <c r="F259" s="190"/>
      <c r="G259" s="190"/>
      <c r="H259" s="190"/>
      <c r="I259" s="190"/>
      <c r="J259" s="190"/>
      <c r="K259" s="190"/>
      <c r="L259" s="190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 spans="1:26" ht="12.75" customHeight="1">
      <c r="A260" s="190"/>
      <c r="B260" s="190"/>
      <c r="C260" s="190"/>
      <c r="D260" s="190"/>
      <c r="E260" s="190"/>
      <c r="F260" s="190"/>
      <c r="G260" s="190"/>
      <c r="H260" s="190"/>
      <c r="I260" s="190"/>
      <c r="J260" s="190"/>
      <c r="K260" s="190"/>
      <c r="L260" s="190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 spans="1:26" ht="12.75" customHeight="1">
      <c r="A261" s="190"/>
      <c r="B261" s="190"/>
      <c r="C261" s="190"/>
      <c r="D261" s="190"/>
      <c r="E261" s="190"/>
      <c r="F261" s="190"/>
      <c r="G261" s="190"/>
      <c r="H261" s="190"/>
      <c r="I261" s="190"/>
      <c r="J261" s="190"/>
      <c r="K261" s="190"/>
      <c r="L261" s="190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 spans="1:26" ht="12.75" customHeight="1">
      <c r="A262" s="190"/>
      <c r="B262" s="190"/>
      <c r="C262" s="190"/>
      <c r="D262" s="190"/>
      <c r="E262" s="190"/>
      <c r="F262" s="190"/>
      <c r="G262" s="190"/>
      <c r="H262" s="190"/>
      <c r="I262" s="190"/>
      <c r="J262" s="190"/>
      <c r="K262" s="190"/>
      <c r="L262" s="190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 spans="1:26" ht="12.75" customHeight="1">
      <c r="A263" s="190"/>
      <c r="B263" s="190"/>
      <c r="C263" s="190"/>
      <c r="D263" s="190"/>
      <c r="E263" s="190"/>
      <c r="F263" s="190"/>
      <c r="G263" s="190"/>
      <c r="H263" s="190"/>
      <c r="I263" s="190"/>
      <c r="J263" s="190"/>
      <c r="K263" s="190"/>
      <c r="L263" s="190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 spans="1:26" ht="12.75" customHeight="1">
      <c r="A264" s="190"/>
      <c r="B264" s="190"/>
      <c r="C264" s="190"/>
      <c r="D264" s="190"/>
      <c r="E264" s="190"/>
      <c r="F264" s="190"/>
      <c r="G264" s="190"/>
      <c r="H264" s="190"/>
      <c r="I264" s="190"/>
      <c r="J264" s="190"/>
      <c r="K264" s="190"/>
      <c r="L264" s="190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 spans="1:26" ht="12.75" customHeight="1">
      <c r="A265" s="190"/>
      <c r="B265" s="190"/>
      <c r="C265" s="190"/>
      <c r="D265" s="190"/>
      <c r="E265" s="190"/>
      <c r="F265" s="190"/>
      <c r="G265" s="190"/>
      <c r="H265" s="190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 spans="1:26" ht="12.75" customHeight="1">
      <c r="A266" s="190"/>
      <c r="B266" s="190"/>
      <c r="C266" s="190"/>
      <c r="D266" s="190"/>
      <c r="E266" s="190"/>
      <c r="F266" s="190"/>
      <c r="G266" s="190"/>
      <c r="H266" s="190"/>
      <c r="I266" s="190"/>
      <c r="J266" s="190"/>
      <c r="K266" s="190"/>
      <c r="L266" s="190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 spans="1:26" ht="12.75" customHeight="1">
      <c r="A267" s="190"/>
      <c r="B267" s="190"/>
      <c r="C267" s="190"/>
      <c r="D267" s="190"/>
      <c r="E267" s="190"/>
      <c r="F267" s="190"/>
      <c r="G267" s="190"/>
      <c r="H267" s="190"/>
      <c r="I267" s="190"/>
      <c r="J267" s="190"/>
      <c r="K267" s="190"/>
      <c r="L267" s="190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 spans="1:26" ht="12.75" customHeight="1">
      <c r="A268" s="190"/>
      <c r="B268" s="190"/>
      <c r="C268" s="190"/>
      <c r="D268" s="190"/>
      <c r="E268" s="190"/>
      <c r="F268" s="190"/>
      <c r="G268" s="190"/>
      <c r="H268" s="190"/>
      <c r="I268" s="190"/>
      <c r="J268" s="190"/>
      <c r="K268" s="190"/>
      <c r="L268" s="190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 spans="1:26" ht="12.75" customHeight="1">
      <c r="A269" s="190"/>
      <c r="B269" s="190"/>
      <c r="C269" s="190"/>
      <c r="D269" s="190"/>
      <c r="E269" s="190"/>
      <c r="F269" s="190"/>
      <c r="G269" s="190"/>
      <c r="H269" s="190"/>
      <c r="I269" s="190"/>
      <c r="J269" s="190"/>
      <c r="K269" s="190"/>
      <c r="L269" s="190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 spans="1:26" ht="12.75" customHeight="1">
      <c r="A270" s="190"/>
      <c r="B270" s="190"/>
      <c r="C270" s="190"/>
      <c r="D270" s="190"/>
      <c r="E270" s="190"/>
      <c r="F270" s="190"/>
      <c r="G270" s="190"/>
      <c r="H270" s="190"/>
      <c r="I270" s="190"/>
      <c r="J270" s="190"/>
      <c r="K270" s="190"/>
      <c r="L270" s="190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 spans="1:26" ht="12.75" customHeight="1">
      <c r="A271" s="190"/>
      <c r="B271" s="190"/>
      <c r="C271" s="190"/>
      <c r="D271" s="190"/>
      <c r="E271" s="190"/>
      <c r="F271" s="190"/>
      <c r="G271" s="190"/>
      <c r="H271" s="190"/>
      <c r="I271" s="190"/>
      <c r="J271" s="190"/>
      <c r="K271" s="190"/>
      <c r="L271" s="190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 spans="1:26" ht="12.75" customHeight="1">
      <c r="A272" s="190"/>
      <c r="B272" s="190"/>
      <c r="C272" s="190"/>
      <c r="D272" s="190"/>
      <c r="E272" s="190"/>
      <c r="F272" s="190"/>
      <c r="G272" s="190"/>
      <c r="H272" s="190"/>
      <c r="I272" s="190"/>
      <c r="J272" s="190"/>
      <c r="K272" s="190"/>
      <c r="L272" s="190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 spans="1:26" ht="12.75" customHeight="1">
      <c r="A273" s="190"/>
      <c r="B273" s="190"/>
      <c r="C273" s="190"/>
      <c r="D273" s="190"/>
      <c r="E273" s="190"/>
      <c r="F273" s="190"/>
      <c r="G273" s="190"/>
      <c r="H273" s="190"/>
      <c r="I273" s="190"/>
      <c r="J273" s="190"/>
      <c r="K273" s="190"/>
      <c r="L273" s="190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 spans="1:26" ht="12.75" customHeight="1">
      <c r="A274" s="190"/>
      <c r="B274" s="190"/>
      <c r="C274" s="190"/>
      <c r="D274" s="190"/>
      <c r="E274" s="190"/>
      <c r="F274" s="190"/>
      <c r="G274" s="190"/>
      <c r="H274" s="190"/>
      <c r="I274" s="190"/>
      <c r="J274" s="190"/>
      <c r="K274" s="190"/>
      <c r="L274" s="190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 spans="1:26" ht="12.75" customHeight="1">
      <c r="A275" s="190"/>
      <c r="B275" s="190"/>
      <c r="C275" s="190"/>
      <c r="D275" s="190"/>
      <c r="E275" s="190"/>
      <c r="F275" s="190"/>
      <c r="G275" s="190"/>
      <c r="H275" s="190"/>
      <c r="I275" s="190"/>
      <c r="J275" s="190"/>
      <c r="K275" s="190"/>
      <c r="L275" s="190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 spans="1:26" ht="12.75" customHeight="1">
      <c r="A276" s="190"/>
      <c r="B276" s="190"/>
      <c r="C276" s="190"/>
      <c r="D276" s="190"/>
      <c r="E276" s="190"/>
      <c r="F276" s="190"/>
      <c r="G276" s="190"/>
      <c r="H276" s="190"/>
      <c r="I276" s="190"/>
      <c r="J276" s="190"/>
      <c r="K276" s="190"/>
      <c r="L276" s="190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 spans="1:26" ht="12.75" customHeight="1">
      <c r="A277" s="190"/>
      <c r="B277" s="190"/>
      <c r="C277" s="190"/>
      <c r="D277" s="190"/>
      <c r="E277" s="190"/>
      <c r="F277" s="190"/>
      <c r="G277" s="190"/>
      <c r="H277" s="190"/>
      <c r="I277" s="190"/>
      <c r="J277" s="190"/>
      <c r="K277" s="190"/>
      <c r="L277" s="190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 spans="1:26" ht="12.75" customHeight="1">
      <c r="A278" s="190"/>
      <c r="B278" s="190"/>
      <c r="C278" s="190"/>
      <c r="D278" s="190"/>
      <c r="E278" s="190"/>
      <c r="F278" s="190"/>
      <c r="G278" s="190"/>
      <c r="H278" s="190"/>
      <c r="I278" s="190"/>
      <c r="J278" s="190"/>
      <c r="K278" s="190"/>
      <c r="L278" s="190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 spans="1:26" ht="12.75" customHeight="1">
      <c r="A279" s="190"/>
      <c r="B279" s="190"/>
      <c r="C279" s="190"/>
      <c r="D279" s="190"/>
      <c r="E279" s="190"/>
      <c r="F279" s="190"/>
      <c r="G279" s="190"/>
      <c r="H279" s="190"/>
      <c r="I279" s="190"/>
      <c r="J279" s="190"/>
      <c r="K279" s="190"/>
      <c r="L279" s="190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 spans="1:26" ht="12.75" customHeight="1">
      <c r="A280" s="190"/>
      <c r="B280" s="190"/>
      <c r="C280" s="190"/>
      <c r="D280" s="190"/>
      <c r="E280" s="190"/>
      <c r="F280" s="190"/>
      <c r="G280" s="190"/>
      <c r="H280" s="190"/>
      <c r="I280" s="190"/>
      <c r="J280" s="190"/>
      <c r="K280" s="190"/>
      <c r="L280" s="190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 spans="1:26" ht="12.75" customHeight="1">
      <c r="A281" s="190"/>
      <c r="B281" s="190"/>
      <c r="C281" s="190"/>
      <c r="D281" s="190"/>
      <c r="E281" s="190"/>
      <c r="F281" s="190"/>
      <c r="G281" s="190"/>
      <c r="H281" s="190"/>
      <c r="I281" s="190"/>
      <c r="J281" s="190"/>
      <c r="K281" s="190"/>
      <c r="L281" s="190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 spans="1:26" ht="12.75" customHeight="1">
      <c r="A282" s="190"/>
      <c r="B282" s="190"/>
      <c r="C282" s="190"/>
      <c r="D282" s="190"/>
      <c r="E282" s="190"/>
      <c r="F282" s="190"/>
      <c r="G282" s="190"/>
      <c r="H282" s="190"/>
      <c r="I282" s="190"/>
      <c r="J282" s="190"/>
      <c r="K282" s="190"/>
      <c r="L282" s="190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 spans="1:26" ht="12.75" customHeight="1">
      <c r="A283" s="190"/>
      <c r="B283" s="190"/>
      <c r="C283" s="190"/>
      <c r="D283" s="190"/>
      <c r="E283" s="190"/>
      <c r="F283" s="190"/>
      <c r="G283" s="190"/>
      <c r="H283" s="190"/>
      <c r="I283" s="190"/>
      <c r="J283" s="190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 spans="1:26" ht="12.75" customHeight="1">
      <c r="A284" s="190"/>
      <c r="B284" s="190"/>
      <c r="C284" s="190"/>
      <c r="D284" s="190"/>
      <c r="E284" s="190"/>
      <c r="F284" s="190"/>
      <c r="G284" s="190"/>
      <c r="H284" s="190"/>
      <c r="I284" s="190"/>
      <c r="J284" s="190"/>
      <c r="K284" s="190"/>
      <c r="L284" s="190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 spans="1:26" ht="12.75" customHeight="1">
      <c r="A285" s="190"/>
      <c r="B285" s="190"/>
      <c r="C285" s="190"/>
      <c r="D285" s="190"/>
      <c r="E285" s="190"/>
      <c r="F285" s="190"/>
      <c r="G285" s="190"/>
      <c r="H285" s="190"/>
      <c r="I285" s="190"/>
      <c r="J285" s="190"/>
      <c r="K285" s="190"/>
      <c r="L285" s="190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 spans="1:26" ht="12.75" customHeight="1">
      <c r="A286" s="190"/>
      <c r="B286" s="190"/>
      <c r="C286" s="190"/>
      <c r="D286" s="190"/>
      <c r="E286" s="190"/>
      <c r="F286" s="190"/>
      <c r="G286" s="190"/>
      <c r="H286" s="190"/>
      <c r="I286" s="190"/>
      <c r="J286" s="190"/>
      <c r="K286" s="190"/>
      <c r="L286" s="190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 spans="1:26" ht="12.75" customHeight="1">
      <c r="A287" s="190"/>
      <c r="B287" s="190"/>
      <c r="C287" s="190"/>
      <c r="D287" s="190"/>
      <c r="E287" s="190"/>
      <c r="F287" s="190"/>
      <c r="G287" s="190"/>
      <c r="H287" s="190"/>
      <c r="I287" s="190"/>
      <c r="J287" s="190"/>
      <c r="K287" s="190"/>
      <c r="L287" s="190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 spans="1:26" ht="12.75" customHeight="1">
      <c r="A288" s="190"/>
      <c r="B288" s="190"/>
      <c r="C288" s="190"/>
      <c r="D288" s="190"/>
      <c r="E288" s="190"/>
      <c r="F288" s="190"/>
      <c r="G288" s="190"/>
      <c r="H288" s="190"/>
      <c r="I288" s="190"/>
      <c r="J288" s="190"/>
      <c r="K288" s="190"/>
      <c r="L288" s="190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 spans="1:26" ht="12.75" customHeight="1">
      <c r="A289" s="190"/>
      <c r="B289" s="190"/>
      <c r="C289" s="190"/>
      <c r="D289" s="190"/>
      <c r="E289" s="190"/>
      <c r="F289" s="190"/>
      <c r="G289" s="190"/>
      <c r="H289" s="190"/>
      <c r="I289" s="190"/>
      <c r="J289" s="190"/>
      <c r="K289" s="190"/>
      <c r="L289" s="190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 spans="1:26" ht="12.75" customHeight="1">
      <c r="A290" s="190"/>
      <c r="B290" s="190"/>
      <c r="C290" s="190"/>
      <c r="D290" s="190"/>
      <c r="E290" s="190"/>
      <c r="F290" s="190"/>
      <c r="G290" s="190"/>
      <c r="H290" s="190"/>
      <c r="I290" s="190"/>
      <c r="J290" s="190"/>
      <c r="K290" s="190"/>
      <c r="L290" s="190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 spans="1:26" ht="12.75" customHeight="1">
      <c r="A291" s="190"/>
      <c r="B291" s="190"/>
      <c r="C291" s="190"/>
      <c r="D291" s="190"/>
      <c r="E291" s="190"/>
      <c r="F291" s="190"/>
      <c r="G291" s="190"/>
      <c r="H291" s="190"/>
      <c r="I291" s="190"/>
      <c r="J291" s="190"/>
      <c r="K291" s="190"/>
      <c r="L291" s="190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 spans="1:26" ht="12.75" customHeight="1">
      <c r="A292" s="190"/>
      <c r="B292" s="190"/>
      <c r="C292" s="190"/>
      <c r="D292" s="190"/>
      <c r="E292" s="190"/>
      <c r="F292" s="190"/>
      <c r="G292" s="190"/>
      <c r="H292" s="190"/>
      <c r="I292" s="190"/>
      <c r="J292" s="190"/>
      <c r="K292" s="190"/>
      <c r="L292" s="190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 spans="1:26" ht="12.75" customHeight="1">
      <c r="A293" s="190"/>
      <c r="B293" s="190"/>
      <c r="C293" s="190"/>
      <c r="D293" s="190"/>
      <c r="E293" s="190"/>
      <c r="F293" s="190"/>
      <c r="G293" s="190"/>
      <c r="H293" s="190"/>
      <c r="I293" s="190"/>
      <c r="J293" s="190"/>
      <c r="K293" s="190"/>
      <c r="L293" s="190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 spans="1:26" ht="12.75" customHeight="1">
      <c r="A294" s="190"/>
      <c r="B294" s="190"/>
      <c r="C294" s="190"/>
      <c r="D294" s="190"/>
      <c r="E294" s="190"/>
      <c r="F294" s="190"/>
      <c r="G294" s="190"/>
      <c r="H294" s="190"/>
      <c r="I294" s="190"/>
      <c r="J294" s="190"/>
      <c r="K294" s="190"/>
      <c r="L294" s="190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 spans="1:26" ht="12.75" customHeight="1">
      <c r="A295" s="190"/>
      <c r="B295" s="190"/>
      <c r="C295" s="190"/>
      <c r="D295" s="190"/>
      <c r="E295" s="190"/>
      <c r="F295" s="190"/>
      <c r="G295" s="190"/>
      <c r="H295" s="190"/>
      <c r="I295" s="190"/>
      <c r="J295" s="190"/>
      <c r="K295" s="190"/>
      <c r="L295" s="190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 spans="1:26" ht="12.75" customHeight="1">
      <c r="A296" s="190"/>
      <c r="B296" s="190"/>
      <c r="C296" s="190"/>
      <c r="D296" s="190"/>
      <c r="E296" s="190"/>
      <c r="F296" s="190"/>
      <c r="G296" s="190"/>
      <c r="H296" s="190"/>
      <c r="I296" s="190"/>
      <c r="J296" s="190"/>
      <c r="K296" s="190"/>
      <c r="L296" s="190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 spans="1:26" ht="12.75" customHeight="1">
      <c r="A297" s="190"/>
      <c r="B297" s="190"/>
      <c r="C297" s="190"/>
      <c r="D297" s="190"/>
      <c r="E297" s="190"/>
      <c r="F297" s="190"/>
      <c r="G297" s="190"/>
      <c r="H297" s="190"/>
      <c r="I297" s="190"/>
      <c r="J297" s="190"/>
      <c r="K297" s="190"/>
      <c r="L297" s="190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 spans="1:26" ht="12.75" customHeight="1">
      <c r="A298" s="190"/>
      <c r="B298" s="190"/>
      <c r="C298" s="190"/>
      <c r="D298" s="190"/>
      <c r="E298" s="190"/>
      <c r="F298" s="190"/>
      <c r="G298" s="190"/>
      <c r="H298" s="190"/>
      <c r="I298" s="190"/>
      <c r="J298" s="190"/>
      <c r="K298" s="190"/>
      <c r="L298" s="190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 spans="1:26" ht="12.75" customHeight="1">
      <c r="A299" s="190"/>
      <c r="B299" s="190"/>
      <c r="C299" s="190"/>
      <c r="D299" s="190"/>
      <c r="E299" s="190"/>
      <c r="F299" s="190"/>
      <c r="G299" s="190"/>
      <c r="H299" s="190"/>
      <c r="I299" s="190"/>
      <c r="J299" s="190"/>
      <c r="K299" s="190"/>
      <c r="L299" s="190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 spans="1:26" ht="12.75" customHeight="1">
      <c r="A300" s="190"/>
      <c r="B300" s="190"/>
      <c r="C300" s="190"/>
      <c r="D300" s="190"/>
      <c r="E300" s="190"/>
      <c r="F300" s="190"/>
      <c r="G300" s="190"/>
      <c r="H300" s="190"/>
      <c r="I300" s="190"/>
      <c r="J300" s="190"/>
      <c r="K300" s="190"/>
      <c r="L300" s="190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 spans="1:26" ht="12.75" customHeight="1">
      <c r="A301" s="190"/>
      <c r="B301" s="190"/>
      <c r="C301" s="190"/>
      <c r="D301" s="190"/>
      <c r="E301" s="190"/>
      <c r="F301" s="190"/>
      <c r="G301" s="190"/>
      <c r="H301" s="190"/>
      <c r="I301" s="190"/>
      <c r="J301" s="190"/>
      <c r="K301" s="190"/>
      <c r="L301" s="190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 spans="1:26" ht="12.75" customHeight="1">
      <c r="A302" s="190"/>
      <c r="B302" s="190"/>
      <c r="C302" s="190"/>
      <c r="D302" s="190"/>
      <c r="E302" s="190"/>
      <c r="F302" s="190"/>
      <c r="G302" s="190"/>
      <c r="H302" s="190"/>
      <c r="I302" s="190"/>
      <c r="J302" s="190"/>
      <c r="K302" s="190"/>
      <c r="L302" s="190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 spans="1:26" ht="12.75" customHeight="1">
      <c r="A303" s="190"/>
      <c r="B303" s="190"/>
      <c r="C303" s="190"/>
      <c r="D303" s="190"/>
      <c r="E303" s="190"/>
      <c r="F303" s="190"/>
      <c r="G303" s="190"/>
      <c r="H303" s="190"/>
      <c r="I303" s="190"/>
      <c r="J303" s="190"/>
      <c r="K303" s="190"/>
      <c r="L303" s="190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 spans="1:26" ht="12.75" customHeight="1">
      <c r="A304" s="190"/>
      <c r="B304" s="190"/>
      <c r="C304" s="190"/>
      <c r="D304" s="190"/>
      <c r="E304" s="190"/>
      <c r="F304" s="190"/>
      <c r="G304" s="190"/>
      <c r="H304" s="190"/>
      <c r="I304" s="190"/>
      <c r="J304" s="190"/>
      <c r="K304" s="190"/>
      <c r="L304" s="190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 spans="1:26" ht="12.75" customHeight="1">
      <c r="A305" s="190"/>
      <c r="B305" s="190"/>
      <c r="C305" s="190"/>
      <c r="D305" s="190"/>
      <c r="E305" s="190"/>
      <c r="F305" s="190"/>
      <c r="G305" s="190"/>
      <c r="H305" s="190"/>
      <c r="I305" s="190"/>
      <c r="J305" s="190"/>
      <c r="K305" s="190"/>
      <c r="L305" s="190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 spans="1:26" ht="12.75" customHeight="1">
      <c r="A306" s="190"/>
      <c r="B306" s="190"/>
      <c r="C306" s="190"/>
      <c r="D306" s="190"/>
      <c r="E306" s="190"/>
      <c r="F306" s="190"/>
      <c r="G306" s="190"/>
      <c r="H306" s="190"/>
      <c r="I306" s="190"/>
      <c r="J306" s="190"/>
      <c r="K306" s="190"/>
      <c r="L306" s="190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 spans="1:26" ht="12.75" customHeight="1">
      <c r="A307" s="190"/>
      <c r="B307" s="190"/>
      <c r="C307" s="190"/>
      <c r="D307" s="190"/>
      <c r="E307" s="190"/>
      <c r="F307" s="190"/>
      <c r="G307" s="190"/>
      <c r="H307" s="190"/>
      <c r="I307" s="190"/>
      <c r="J307" s="190"/>
      <c r="K307" s="190"/>
      <c r="L307" s="190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 spans="1:26" ht="12.75" customHeight="1">
      <c r="A308" s="190"/>
      <c r="B308" s="190"/>
      <c r="C308" s="190"/>
      <c r="D308" s="190"/>
      <c r="E308" s="190"/>
      <c r="F308" s="190"/>
      <c r="G308" s="190"/>
      <c r="H308" s="190"/>
      <c r="I308" s="190"/>
      <c r="J308" s="190"/>
      <c r="K308" s="190"/>
      <c r="L308" s="190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 spans="1:26" ht="12.75" customHeight="1">
      <c r="A309" s="190"/>
      <c r="B309" s="190"/>
      <c r="C309" s="190"/>
      <c r="D309" s="190"/>
      <c r="E309" s="190"/>
      <c r="F309" s="190"/>
      <c r="G309" s="190"/>
      <c r="H309" s="190"/>
      <c r="I309" s="190"/>
      <c r="J309" s="190"/>
      <c r="K309" s="190"/>
      <c r="L309" s="190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 spans="1:26" ht="12.75" customHeight="1">
      <c r="A310" s="190"/>
      <c r="B310" s="190"/>
      <c r="C310" s="190"/>
      <c r="D310" s="190"/>
      <c r="E310" s="190"/>
      <c r="F310" s="190"/>
      <c r="G310" s="190"/>
      <c r="H310" s="190"/>
      <c r="I310" s="190"/>
      <c r="J310" s="190"/>
      <c r="K310" s="190"/>
      <c r="L310" s="190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 spans="1:26" ht="12.75" customHeight="1">
      <c r="A311" s="190"/>
      <c r="B311" s="190"/>
      <c r="C311" s="190"/>
      <c r="D311" s="190"/>
      <c r="E311" s="190"/>
      <c r="F311" s="190"/>
      <c r="G311" s="190"/>
      <c r="H311" s="190"/>
      <c r="I311" s="190"/>
      <c r="J311" s="190"/>
      <c r="K311" s="190"/>
      <c r="L311" s="190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 spans="1:26" ht="12.75" customHeight="1">
      <c r="A312" s="190"/>
      <c r="B312" s="190"/>
      <c r="C312" s="190"/>
      <c r="D312" s="190"/>
      <c r="E312" s="190"/>
      <c r="F312" s="190"/>
      <c r="G312" s="190"/>
      <c r="H312" s="190"/>
      <c r="I312" s="190"/>
      <c r="J312" s="190"/>
      <c r="K312" s="190"/>
      <c r="L312" s="190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 spans="1:26" ht="12.75" customHeight="1">
      <c r="A313" s="190"/>
      <c r="B313" s="190"/>
      <c r="C313" s="190"/>
      <c r="D313" s="190"/>
      <c r="E313" s="190"/>
      <c r="F313" s="190"/>
      <c r="G313" s="190"/>
      <c r="H313" s="190"/>
      <c r="I313" s="190"/>
      <c r="J313" s="190"/>
      <c r="K313" s="190"/>
      <c r="L313" s="190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 spans="1:26" ht="12.75" customHeight="1">
      <c r="A314" s="190"/>
      <c r="B314" s="190"/>
      <c r="C314" s="190"/>
      <c r="D314" s="190"/>
      <c r="E314" s="190"/>
      <c r="F314" s="190"/>
      <c r="G314" s="190"/>
      <c r="H314" s="190"/>
      <c r="I314" s="190"/>
      <c r="J314" s="190"/>
      <c r="K314" s="190"/>
      <c r="L314" s="190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 spans="1:26" ht="12.75" customHeight="1">
      <c r="A315" s="190"/>
      <c r="B315" s="190"/>
      <c r="C315" s="190"/>
      <c r="D315" s="190"/>
      <c r="E315" s="190"/>
      <c r="F315" s="190"/>
      <c r="G315" s="190"/>
      <c r="H315" s="190"/>
      <c r="I315" s="190"/>
      <c r="J315" s="190"/>
      <c r="K315" s="190"/>
      <c r="L315" s="190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 spans="1:26" ht="12.75" customHeight="1">
      <c r="A316" s="190"/>
      <c r="B316" s="190"/>
      <c r="C316" s="190"/>
      <c r="D316" s="190"/>
      <c r="E316" s="190"/>
      <c r="F316" s="190"/>
      <c r="G316" s="190"/>
      <c r="H316" s="190"/>
      <c r="I316" s="190"/>
      <c r="J316" s="190"/>
      <c r="K316" s="190"/>
      <c r="L316" s="190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 spans="1:26" ht="12.75" customHeight="1">
      <c r="A317" s="190"/>
      <c r="B317" s="190"/>
      <c r="C317" s="190"/>
      <c r="D317" s="190"/>
      <c r="E317" s="190"/>
      <c r="F317" s="190"/>
      <c r="G317" s="190"/>
      <c r="H317" s="190"/>
      <c r="I317" s="190"/>
      <c r="J317" s="190"/>
      <c r="K317" s="190"/>
      <c r="L317" s="190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 spans="1:26" ht="12.75" customHeight="1">
      <c r="A318" s="190"/>
      <c r="B318" s="190"/>
      <c r="C318" s="190"/>
      <c r="D318" s="190"/>
      <c r="E318" s="190"/>
      <c r="F318" s="190"/>
      <c r="G318" s="190"/>
      <c r="H318" s="190"/>
      <c r="I318" s="190"/>
      <c r="J318" s="190"/>
      <c r="K318" s="190"/>
      <c r="L318" s="190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 spans="1:26" ht="12.75" customHeight="1">
      <c r="A319" s="190"/>
      <c r="B319" s="190"/>
      <c r="C319" s="190"/>
      <c r="D319" s="190"/>
      <c r="E319" s="190"/>
      <c r="F319" s="190"/>
      <c r="G319" s="190"/>
      <c r="H319" s="190"/>
      <c r="I319" s="190"/>
      <c r="J319" s="190"/>
      <c r="K319" s="190"/>
      <c r="L319" s="190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 spans="1:26" ht="12.75" customHeight="1">
      <c r="A320" s="190"/>
      <c r="B320" s="190"/>
      <c r="C320" s="190"/>
      <c r="D320" s="190"/>
      <c r="E320" s="190"/>
      <c r="F320" s="190"/>
      <c r="G320" s="190"/>
      <c r="H320" s="190"/>
      <c r="I320" s="190"/>
      <c r="J320" s="190"/>
      <c r="K320" s="190"/>
      <c r="L320" s="190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 spans="1:26" ht="12.75" customHeight="1">
      <c r="A321" s="190"/>
      <c r="B321" s="190"/>
      <c r="C321" s="190"/>
      <c r="D321" s="190"/>
      <c r="E321" s="190"/>
      <c r="F321" s="190"/>
      <c r="G321" s="190"/>
      <c r="H321" s="190"/>
      <c r="I321" s="190"/>
      <c r="J321" s="190"/>
      <c r="K321" s="190"/>
      <c r="L321" s="190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 spans="1:26" ht="12.75" customHeight="1">
      <c r="A322" s="190"/>
      <c r="B322" s="190"/>
      <c r="C322" s="190"/>
      <c r="D322" s="190"/>
      <c r="E322" s="190"/>
      <c r="F322" s="190"/>
      <c r="G322" s="190"/>
      <c r="H322" s="190"/>
      <c r="I322" s="190"/>
      <c r="J322" s="190"/>
      <c r="K322" s="190"/>
      <c r="L322" s="190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 spans="1:26" ht="12.75" customHeight="1">
      <c r="A323" s="190"/>
      <c r="B323" s="190"/>
      <c r="C323" s="190"/>
      <c r="D323" s="190"/>
      <c r="E323" s="190"/>
      <c r="F323" s="190"/>
      <c r="G323" s="190"/>
      <c r="H323" s="190"/>
      <c r="I323" s="190"/>
      <c r="J323" s="190"/>
      <c r="K323" s="190"/>
      <c r="L323" s="190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 spans="1:26" ht="12.75" customHeight="1">
      <c r="A324" s="190"/>
      <c r="B324" s="190"/>
      <c r="C324" s="190"/>
      <c r="D324" s="190"/>
      <c r="E324" s="190"/>
      <c r="F324" s="190"/>
      <c r="G324" s="190"/>
      <c r="H324" s="190"/>
      <c r="I324" s="190"/>
      <c r="J324" s="190"/>
      <c r="K324" s="190"/>
      <c r="L324" s="190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 spans="1:26" ht="12.75" customHeight="1">
      <c r="A325" s="190"/>
      <c r="B325" s="190"/>
      <c r="C325" s="190"/>
      <c r="D325" s="190"/>
      <c r="E325" s="190"/>
      <c r="F325" s="190"/>
      <c r="G325" s="190"/>
      <c r="H325" s="190"/>
      <c r="I325" s="190"/>
      <c r="J325" s="190"/>
      <c r="K325" s="190"/>
      <c r="L325" s="190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 spans="1:26" ht="12.75" customHeight="1">
      <c r="A326" s="190"/>
      <c r="B326" s="190"/>
      <c r="C326" s="190"/>
      <c r="D326" s="190"/>
      <c r="E326" s="190"/>
      <c r="F326" s="190"/>
      <c r="G326" s="190"/>
      <c r="H326" s="190"/>
      <c r="I326" s="190"/>
      <c r="J326" s="190"/>
      <c r="K326" s="190"/>
      <c r="L326" s="190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 spans="1:26" ht="12.75" customHeight="1">
      <c r="A327" s="190"/>
      <c r="B327" s="190"/>
      <c r="C327" s="190"/>
      <c r="D327" s="190"/>
      <c r="E327" s="190"/>
      <c r="F327" s="190"/>
      <c r="G327" s="190"/>
      <c r="H327" s="190"/>
      <c r="I327" s="190"/>
      <c r="J327" s="190"/>
      <c r="K327" s="190"/>
      <c r="L327" s="190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 spans="1:26" ht="12.75" customHeight="1">
      <c r="A328" s="190"/>
      <c r="B328" s="190"/>
      <c r="C328" s="190"/>
      <c r="D328" s="190"/>
      <c r="E328" s="190"/>
      <c r="F328" s="190"/>
      <c r="G328" s="190"/>
      <c r="H328" s="190"/>
      <c r="I328" s="190"/>
      <c r="J328" s="190"/>
      <c r="K328" s="190"/>
      <c r="L328" s="190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 spans="1:26" ht="12.75" customHeight="1">
      <c r="A329" s="190"/>
      <c r="B329" s="190"/>
      <c r="C329" s="190"/>
      <c r="D329" s="190"/>
      <c r="E329" s="190"/>
      <c r="F329" s="190"/>
      <c r="G329" s="190"/>
      <c r="H329" s="190"/>
      <c r="I329" s="190"/>
      <c r="J329" s="190"/>
      <c r="K329" s="190"/>
      <c r="L329" s="190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 spans="1:26" ht="12.75" customHeight="1">
      <c r="A330" s="190"/>
      <c r="B330" s="190"/>
      <c r="C330" s="190"/>
      <c r="D330" s="190"/>
      <c r="E330" s="190"/>
      <c r="F330" s="190"/>
      <c r="G330" s="190"/>
      <c r="H330" s="190"/>
      <c r="I330" s="190"/>
      <c r="J330" s="190"/>
      <c r="K330" s="190"/>
      <c r="L330" s="190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 spans="1:26" ht="12.75" customHeight="1">
      <c r="A331" s="190"/>
      <c r="B331" s="190"/>
      <c r="C331" s="190"/>
      <c r="D331" s="190"/>
      <c r="E331" s="190"/>
      <c r="F331" s="190"/>
      <c r="G331" s="190"/>
      <c r="H331" s="190"/>
      <c r="I331" s="190"/>
      <c r="J331" s="190"/>
      <c r="K331" s="190"/>
      <c r="L331" s="190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 spans="1:26" ht="12.75" customHeight="1">
      <c r="A332" s="190"/>
      <c r="B332" s="190"/>
      <c r="C332" s="190"/>
      <c r="D332" s="190"/>
      <c r="E332" s="190"/>
      <c r="F332" s="190"/>
      <c r="G332" s="190"/>
      <c r="H332" s="190"/>
      <c r="I332" s="190"/>
      <c r="J332" s="190"/>
      <c r="K332" s="190"/>
      <c r="L332" s="190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 spans="1:26" ht="12.75" customHeight="1">
      <c r="A333" s="190"/>
      <c r="B333" s="190"/>
      <c r="C333" s="190"/>
      <c r="D333" s="190"/>
      <c r="E333" s="190"/>
      <c r="F333" s="190"/>
      <c r="G333" s="190"/>
      <c r="H333" s="190"/>
      <c r="I333" s="190"/>
      <c r="J333" s="190"/>
      <c r="K333" s="190"/>
      <c r="L333" s="190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 spans="1:26" ht="12.75" customHeight="1">
      <c r="A334" s="190"/>
      <c r="B334" s="190"/>
      <c r="C334" s="190"/>
      <c r="D334" s="190"/>
      <c r="E334" s="190"/>
      <c r="F334" s="190"/>
      <c r="G334" s="190"/>
      <c r="H334" s="190"/>
      <c r="I334" s="190"/>
      <c r="J334" s="190"/>
      <c r="K334" s="190"/>
      <c r="L334" s="190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 spans="1:26" ht="12.75" customHeight="1">
      <c r="A335" s="190"/>
      <c r="B335" s="190"/>
      <c r="C335" s="190"/>
      <c r="D335" s="190"/>
      <c r="E335" s="190"/>
      <c r="F335" s="190"/>
      <c r="G335" s="190"/>
      <c r="H335" s="190"/>
      <c r="I335" s="190"/>
      <c r="J335" s="190"/>
      <c r="K335" s="190"/>
      <c r="L335" s="190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 spans="1:26" ht="12.75" customHeight="1">
      <c r="A336" s="190"/>
      <c r="B336" s="190"/>
      <c r="C336" s="190"/>
      <c r="D336" s="190"/>
      <c r="E336" s="190"/>
      <c r="F336" s="190"/>
      <c r="G336" s="190"/>
      <c r="H336" s="190"/>
      <c r="I336" s="190"/>
      <c r="J336" s="190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 spans="1:26" ht="12.75" customHeight="1">
      <c r="A337" s="190"/>
      <c r="B337" s="190"/>
      <c r="C337" s="190"/>
      <c r="D337" s="190"/>
      <c r="E337" s="190"/>
      <c r="F337" s="190"/>
      <c r="G337" s="190"/>
      <c r="H337" s="190"/>
      <c r="I337" s="190"/>
      <c r="J337" s="190"/>
      <c r="K337" s="190"/>
      <c r="L337" s="190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 spans="1:26" ht="12.75" customHeight="1">
      <c r="A338" s="190"/>
      <c r="B338" s="190"/>
      <c r="C338" s="190"/>
      <c r="D338" s="190"/>
      <c r="E338" s="190"/>
      <c r="F338" s="190"/>
      <c r="G338" s="190"/>
      <c r="H338" s="190"/>
      <c r="I338" s="190"/>
      <c r="J338" s="190"/>
      <c r="K338" s="190"/>
      <c r="L338" s="190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 spans="1:26" ht="12.75" customHeight="1">
      <c r="A339" s="190"/>
      <c r="B339" s="190"/>
      <c r="C339" s="190"/>
      <c r="D339" s="190"/>
      <c r="E339" s="190"/>
      <c r="F339" s="190"/>
      <c r="G339" s="190"/>
      <c r="H339" s="190"/>
      <c r="I339" s="190"/>
      <c r="J339" s="190"/>
      <c r="K339" s="190"/>
      <c r="L339" s="190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 spans="1:26" ht="12.75" customHeight="1">
      <c r="A340" s="190"/>
      <c r="B340" s="190"/>
      <c r="C340" s="190"/>
      <c r="D340" s="190"/>
      <c r="E340" s="190"/>
      <c r="F340" s="190"/>
      <c r="G340" s="190"/>
      <c r="H340" s="190"/>
      <c r="I340" s="190"/>
      <c r="J340" s="190"/>
      <c r="K340" s="190"/>
      <c r="L340" s="190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 spans="1:26" ht="12.75" customHeight="1">
      <c r="A341" s="190"/>
      <c r="B341" s="190"/>
      <c r="C341" s="190"/>
      <c r="D341" s="190"/>
      <c r="E341" s="190"/>
      <c r="F341" s="190"/>
      <c r="G341" s="190"/>
      <c r="H341" s="190"/>
      <c r="I341" s="190"/>
      <c r="J341" s="190"/>
      <c r="K341" s="190"/>
      <c r="L341" s="190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 spans="1:26" ht="12.75" customHeight="1">
      <c r="A342" s="190"/>
      <c r="B342" s="190"/>
      <c r="C342" s="190"/>
      <c r="D342" s="190"/>
      <c r="E342" s="190"/>
      <c r="F342" s="190"/>
      <c r="G342" s="190"/>
      <c r="H342" s="190"/>
      <c r="I342" s="190"/>
      <c r="J342" s="190"/>
      <c r="K342" s="190"/>
      <c r="L342" s="190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 spans="1:26" ht="12.75" customHeight="1">
      <c r="A343" s="190"/>
      <c r="B343" s="190"/>
      <c r="C343" s="190"/>
      <c r="D343" s="190"/>
      <c r="E343" s="190"/>
      <c r="F343" s="190"/>
      <c r="G343" s="190"/>
      <c r="H343" s="190"/>
      <c r="I343" s="190"/>
      <c r="J343" s="190"/>
      <c r="K343" s="190"/>
      <c r="L343" s="190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 spans="1:26" ht="12.75" customHeight="1">
      <c r="A344" s="190"/>
      <c r="B344" s="190"/>
      <c r="C344" s="190"/>
      <c r="D344" s="190"/>
      <c r="E344" s="190"/>
      <c r="F344" s="190"/>
      <c r="G344" s="190"/>
      <c r="H344" s="190"/>
      <c r="I344" s="190"/>
      <c r="J344" s="190"/>
      <c r="K344" s="190"/>
      <c r="L344" s="190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 spans="1:26" ht="12.75" customHeight="1">
      <c r="A345" s="190"/>
      <c r="B345" s="190"/>
      <c r="C345" s="190"/>
      <c r="D345" s="190"/>
      <c r="E345" s="190"/>
      <c r="F345" s="190"/>
      <c r="G345" s="190"/>
      <c r="H345" s="190"/>
      <c r="I345" s="190"/>
      <c r="J345" s="190"/>
      <c r="K345" s="190"/>
      <c r="L345" s="190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 spans="1:26" ht="12.75" customHeight="1">
      <c r="A346" s="190"/>
      <c r="B346" s="190"/>
      <c r="C346" s="190"/>
      <c r="D346" s="190"/>
      <c r="E346" s="190"/>
      <c r="F346" s="190"/>
      <c r="G346" s="190"/>
      <c r="H346" s="190"/>
      <c r="I346" s="190"/>
      <c r="J346" s="190"/>
      <c r="K346" s="190"/>
      <c r="L346" s="190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 spans="1:26" ht="12.75" customHeight="1">
      <c r="A347" s="190"/>
      <c r="B347" s="190"/>
      <c r="C347" s="190"/>
      <c r="D347" s="190"/>
      <c r="E347" s="190"/>
      <c r="F347" s="190"/>
      <c r="G347" s="190"/>
      <c r="H347" s="190"/>
      <c r="I347" s="190"/>
      <c r="J347" s="190"/>
      <c r="K347" s="190"/>
      <c r="L347" s="190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 spans="1:26" ht="12.75" customHeight="1">
      <c r="A348" s="190"/>
      <c r="B348" s="190"/>
      <c r="C348" s="190"/>
      <c r="D348" s="190"/>
      <c r="E348" s="190"/>
      <c r="F348" s="190"/>
      <c r="G348" s="190"/>
      <c r="H348" s="190"/>
      <c r="I348" s="190"/>
      <c r="J348" s="190"/>
      <c r="K348" s="190"/>
      <c r="L348" s="190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 spans="1:26" ht="12.75" customHeight="1">
      <c r="A349" s="190"/>
      <c r="B349" s="190"/>
      <c r="C349" s="190"/>
      <c r="D349" s="190"/>
      <c r="E349" s="190"/>
      <c r="F349" s="190"/>
      <c r="G349" s="190"/>
      <c r="H349" s="190"/>
      <c r="I349" s="190"/>
      <c r="J349" s="190"/>
      <c r="K349" s="190"/>
      <c r="L349" s="190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 spans="1:26" ht="12.75" customHeight="1">
      <c r="A350" s="190"/>
      <c r="B350" s="190"/>
      <c r="C350" s="190"/>
      <c r="D350" s="190"/>
      <c r="E350" s="190"/>
      <c r="F350" s="190"/>
      <c r="G350" s="190"/>
      <c r="H350" s="190"/>
      <c r="I350" s="190"/>
      <c r="J350" s="190"/>
      <c r="K350" s="190"/>
      <c r="L350" s="190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 spans="1:26" ht="12.75" customHeight="1">
      <c r="A351" s="190"/>
      <c r="B351" s="190"/>
      <c r="C351" s="190"/>
      <c r="D351" s="190"/>
      <c r="E351" s="190"/>
      <c r="F351" s="190"/>
      <c r="G351" s="190"/>
      <c r="H351" s="190"/>
      <c r="I351" s="190"/>
      <c r="J351" s="190"/>
      <c r="K351" s="190"/>
      <c r="L351" s="190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 spans="1:26" ht="12.75" customHeight="1">
      <c r="A352" s="190"/>
      <c r="B352" s="190"/>
      <c r="C352" s="190"/>
      <c r="D352" s="190"/>
      <c r="E352" s="190"/>
      <c r="F352" s="190"/>
      <c r="G352" s="190"/>
      <c r="H352" s="190"/>
      <c r="I352" s="190"/>
      <c r="J352" s="190"/>
      <c r="K352" s="190"/>
      <c r="L352" s="190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 spans="1:26" ht="12.75" customHeight="1">
      <c r="A353" s="190"/>
      <c r="B353" s="190"/>
      <c r="C353" s="190"/>
      <c r="D353" s="190"/>
      <c r="E353" s="190"/>
      <c r="F353" s="190"/>
      <c r="G353" s="190"/>
      <c r="H353" s="190"/>
      <c r="I353" s="190"/>
      <c r="J353" s="190"/>
      <c r="K353" s="190"/>
      <c r="L353" s="190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 spans="1:26" ht="12.75" customHeight="1">
      <c r="A354" s="190"/>
      <c r="B354" s="190"/>
      <c r="C354" s="190"/>
      <c r="D354" s="190"/>
      <c r="E354" s="190"/>
      <c r="F354" s="190"/>
      <c r="G354" s="190"/>
      <c r="H354" s="190"/>
      <c r="I354" s="190"/>
      <c r="J354" s="190"/>
      <c r="K354" s="190"/>
      <c r="L354" s="190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 spans="1:26" ht="12.75" customHeight="1">
      <c r="A355" s="190"/>
      <c r="B355" s="190"/>
      <c r="C355" s="190"/>
      <c r="D355" s="190"/>
      <c r="E355" s="190"/>
      <c r="F355" s="190"/>
      <c r="G355" s="190"/>
      <c r="H355" s="190"/>
      <c r="I355" s="190"/>
      <c r="J355" s="190"/>
      <c r="K355" s="190"/>
      <c r="L355" s="190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 spans="1:26" ht="12.75" customHeight="1">
      <c r="A356" s="190"/>
      <c r="B356" s="190"/>
      <c r="C356" s="190"/>
      <c r="D356" s="190"/>
      <c r="E356" s="190"/>
      <c r="F356" s="190"/>
      <c r="G356" s="190"/>
      <c r="H356" s="190"/>
      <c r="I356" s="190"/>
      <c r="J356" s="190"/>
      <c r="K356" s="190"/>
      <c r="L356" s="190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 spans="1:26" ht="12.75" customHeight="1">
      <c r="A357" s="190"/>
      <c r="B357" s="190"/>
      <c r="C357" s="190"/>
      <c r="D357" s="190"/>
      <c r="E357" s="190"/>
      <c r="F357" s="190"/>
      <c r="G357" s="190"/>
      <c r="H357" s="190"/>
      <c r="I357" s="190"/>
      <c r="J357" s="190"/>
      <c r="K357" s="190"/>
      <c r="L357" s="190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 spans="1:26" ht="12.75" customHeight="1">
      <c r="A358" s="190"/>
      <c r="B358" s="190"/>
      <c r="C358" s="190"/>
      <c r="D358" s="190"/>
      <c r="E358" s="190"/>
      <c r="F358" s="190"/>
      <c r="G358" s="190"/>
      <c r="H358" s="190"/>
      <c r="I358" s="190"/>
      <c r="J358" s="190"/>
      <c r="K358" s="190"/>
      <c r="L358" s="190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 spans="1:26" ht="12.75" customHeight="1">
      <c r="A359" s="190"/>
      <c r="B359" s="190"/>
      <c r="C359" s="190"/>
      <c r="D359" s="190"/>
      <c r="E359" s="190"/>
      <c r="F359" s="190"/>
      <c r="G359" s="190"/>
      <c r="H359" s="190"/>
      <c r="I359" s="190"/>
      <c r="J359" s="190"/>
      <c r="K359" s="190"/>
      <c r="L359" s="190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 spans="1:26" ht="12.75" customHeight="1">
      <c r="A360" s="190"/>
      <c r="B360" s="190"/>
      <c r="C360" s="190"/>
      <c r="D360" s="190"/>
      <c r="E360" s="190"/>
      <c r="F360" s="190"/>
      <c r="G360" s="190"/>
      <c r="H360" s="190"/>
      <c r="I360" s="190"/>
      <c r="J360" s="190"/>
      <c r="K360" s="190"/>
      <c r="L360" s="190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 spans="1:26" ht="12.75" customHeight="1">
      <c r="A361" s="190"/>
      <c r="B361" s="190"/>
      <c r="C361" s="190"/>
      <c r="D361" s="190"/>
      <c r="E361" s="190"/>
      <c r="F361" s="190"/>
      <c r="G361" s="190"/>
      <c r="H361" s="190"/>
      <c r="I361" s="190"/>
      <c r="J361" s="190"/>
      <c r="K361" s="190"/>
      <c r="L361" s="190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 spans="1:26" ht="12.75" customHeight="1">
      <c r="A362" s="190"/>
      <c r="B362" s="190"/>
      <c r="C362" s="190"/>
      <c r="D362" s="190"/>
      <c r="E362" s="190"/>
      <c r="F362" s="190"/>
      <c r="G362" s="190"/>
      <c r="H362" s="190"/>
      <c r="I362" s="190"/>
      <c r="J362" s="190"/>
      <c r="K362" s="190"/>
      <c r="L362" s="190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 spans="1:26" ht="12.75" customHeight="1">
      <c r="A363" s="190"/>
      <c r="B363" s="190"/>
      <c r="C363" s="190"/>
      <c r="D363" s="190"/>
      <c r="E363" s="190"/>
      <c r="F363" s="190"/>
      <c r="G363" s="190"/>
      <c r="H363" s="190"/>
      <c r="I363" s="190"/>
      <c r="J363" s="190"/>
      <c r="K363" s="190"/>
      <c r="L363" s="190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 spans="1:26" ht="12.75" customHeight="1">
      <c r="A364" s="190"/>
      <c r="B364" s="190"/>
      <c r="C364" s="190"/>
      <c r="D364" s="190"/>
      <c r="E364" s="190"/>
      <c r="F364" s="190"/>
      <c r="G364" s="190"/>
      <c r="H364" s="190"/>
      <c r="I364" s="190"/>
      <c r="J364" s="190"/>
      <c r="K364" s="190"/>
      <c r="L364" s="190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 spans="1:26" ht="12.75" customHeight="1">
      <c r="A365" s="190"/>
      <c r="B365" s="190"/>
      <c r="C365" s="190"/>
      <c r="D365" s="190"/>
      <c r="E365" s="190"/>
      <c r="F365" s="190"/>
      <c r="G365" s="190"/>
      <c r="H365" s="190"/>
      <c r="I365" s="190"/>
      <c r="J365" s="190"/>
      <c r="K365" s="190"/>
      <c r="L365" s="190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 spans="1:26" ht="12.75" customHeight="1">
      <c r="A366" s="190"/>
      <c r="B366" s="190"/>
      <c r="C366" s="190"/>
      <c r="D366" s="190"/>
      <c r="E366" s="190"/>
      <c r="F366" s="190"/>
      <c r="G366" s="190"/>
      <c r="H366" s="190"/>
      <c r="I366" s="190"/>
      <c r="J366" s="190"/>
      <c r="K366" s="190"/>
      <c r="L366" s="190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 spans="1:26" ht="12.75" customHeight="1">
      <c r="A367" s="190"/>
      <c r="B367" s="190"/>
      <c r="C367" s="190"/>
      <c r="D367" s="190"/>
      <c r="E367" s="190"/>
      <c r="F367" s="190"/>
      <c r="G367" s="190"/>
      <c r="H367" s="190"/>
      <c r="I367" s="190"/>
      <c r="J367" s="190"/>
      <c r="K367" s="190"/>
      <c r="L367" s="190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 spans="1:26" ht="12.75" customHeight="1">
      <c r="A368" s="190"/>
      <c r="B368" s="190"/>
      <c r="C368" s="190"/>
      <c r="D368" s="190"/>
      <c r="E368" s="190"/>
      <c r="F368" s="190"/>
      <c r="G368" s="190"/>
      <c r="H368" s="190"/>
      <c r="I368" s="190"/>
      <c r="J368" s="190"/>
      <c r="K368" s="190"/>
      <c r="L368" s="190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 spans="1:26" ht="12.75" customHeight="1">
      <c r="A369" s="190"/>
      <c r="B369" s="190"/>
      <c r="C369" s="190"/>
      <c r="D369" s="190"/>
      <c r="E369" s="190"/>
      <c r="F369" s="190"/>
      <c r="G369" s="190"/>
      <c r="H369" s="190"/>
      <c r="I369" s="190"/>
      <c r="J369" s="190"/>
      <c r="K369" s="190"/>
      <c r="L369" s="190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 spans="1:26" ht="12.75" customHeight="1">
      <c r="A370" s="190"/>
      <c r="B370" s="190"/>
      <c r="C370" s="190"/>
      <c r="D370" s="190"/>
      <c r="E370" s="190"/>
      <c r="F370" s="190"/>
      <c r="G370" s="190"/>
      <c r="H370" s="190"/>
      <c r="I370" s="190"/>
      <c r="J370" s="190"/>
      <c r="K370" s="190"/>
      <c r="L370" s="190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 spans="1:26" ht="12.75" customHeight="1">
      <c r="A371" s="190"/>
      <c r="B371" s="190"/>
      <c r="C371" s="190"/>
      <c r="D371" s="190"/>
      <c r="E371" s="190"/>
      <c r="F371" s="190"/>
      <c r="G371" s="190"/>
      <c r="H371" s="190"/>
      <c r="I371" s="190"/>
      <c r="J371" s="190"/>
      <c r="K371" s="190"/>
      <c r="L371" s="190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 spans="1:26" ht="12.75" customHeight="1">
      <c r="A372" s="190"/>
      <c r="B372" s="190"/>
      <c r="C372" s="190"/>
      <c r="D372" s="190"/>
      <c r="E372" s="190"/>
      <c r="F372" s="190"/>
      <c r="G372" s="190"/>
      <c r="H372" s="190"/>
      <c r="I372" s="190"/>
      <c r="J372" s="190"/>
      <c r="K372" s="190"/>
      <c r="L372" s="190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 spans="1:26" ht="12.75" customHeight="1">
      <c r="A373" s="190"/>
      <c r="B373" s="190"/>
      <c r="C373" s="190"/>
      <c r="D373" s="190"/>
      <c r="E373" s="190"/>
      <c r="F373" s="190"/>
      <c r="G373" s="190"/>
      <c r="H373" s="190"/>
      <c r="I373" s="190"/>
      <c r="J373" s="190"/>
      <c r="K373" s="190"/>
      <c r="L373" s="190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 spans="1:26" ht="12.75" customHeight="1">
      <c r="A374" s="190"/>
      <c r="B374" s="190"/>
      <c r="C374" s="190"/>
      <c r="D374" s="190"/>
      <c r="E374" s="190"/>
      <c r="F374" s="190"/>
      <c r="G374" s="190"/>
      <c r="H374" s="190"/>
      <c r="I374" s="190"/>
      <c r="J374" s="190"/>
      <c r="K374" s="190"/>
      <c r="L374" s="190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 spans="1:26" ht="12.75" customHeight="1">
      <c r="A375" s="190"/>
      <c r="B375" s="190"/>
      <c r="C375" s="190"/>
      <c r="D375" s="190"/>
      <c r="E375" s="190"/>
      <c r="F375" s="190"/>
      <c r="G375" s="190"/>
      <c r="H375" s="190"/>
      <c r="I375" s="190"/>
      <c r="J375" s="190"/>
      <c r="K375" s="190"/>
      <c r="L375" s="190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 spans="1:26" ht="12.75" customHeight="1">
      <c r="A376" s="190"/>
      <c r="B376" s="190"/>
      <c r="C376" s="190"/>
      <c r="D376" s="190"/>
      <c r="E376" s="190"/>
      <c r="F376" s="190"/>
      <c r="G376" s="190"/>
      <c r="H376" s="190"/>
      <c r="I376" s="190"/>
      <c r="J376" s="190"/>
      <c r="K376" s="190"/>
      <c r="L376" s="190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 spans="1:26" ht="12.75" customHeight="1">
      <c r="A377" s="190"/>
      <c r="B377" s="190"/>
      <c r="C377" s="190"/>
      <c r="D377" s="190"/>
      <c r="E377" s="190"/>
      <c r="F377" s="190"/>
      <c r="G377" s="190"/>
      <c r="H377" s="190"/>
      <c r="I377" s="190"/>
      <c r="J377" s="190"/>
      <c r="K377" s="190"/>
      <c r="L377" s="190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 spans="1:26" ht="12.75" customHeight="1">
      <c r="A378" s="190"/>
      <c r="B378" s="190"/>
      <c r="C378" s="190"/>
      <c r="D378" s="190"/>
      <c r="E378" s="190"/>
      <c r="F378" s="190"/>
      <c r="G378" s="190"/>
      <c r="H378" s="190"/>
      <c r="I378" s="190"/>
      <c r="J378" s="190"/>
      <c r="K378" s="190"/>
      <c r="L378" s="190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 spans="1:26" ht="12.75" customHeight="1">
      <c r="A379" s="190"/>
      <c r="B379" s="190"/>
      <c r="C379" s="190"/>
      <c r="D379" s="190"/>
      <c r="E379" s="190"/>
      <c r="F379" s="190"/>
      <c r="G379" s="190"/>
      <c r="H379" s="190"/>
      <c r="I379" s="190"/>
      <c r="J379" s="190"/>
      <c r="K379" s="190"/>
      <c r="L379" s="190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 spans="1:26" ht="12.75" customHeight="1">
      <c r="A380" s="190"/>
      <c r="B380" s="190"/>
      <c r="C380" s="190"/>
      <c r="D380" s="190"/>
      <c r="E380" s="190"/>
      <c r="F380" s="190"/>
      <c r="G380" s="190"/>
      <c r="H380" s="190"/>
      <c r="I380" s="190"/>
      <c r="J380" s="190"/>
      <c r="K380" s="190"/>
      <c r="L380" s="190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 spans="1:26" ht="12.75" customHeight="1">
      <c r="A381" s="190"/>
      <c r="B381" s="190"/>
      <c r="C381" s="190"/>
      <c r="D381" s="190"/>
      <c r="E381" s="190"/>
      <c r="F381" s="190"/>
      <c r="G381" s="190"/>
      <c r="H381" s="190"/>
      <c r="I381" s="190"/>
      <c r="J381" s="190"/>
      <c r="K381" s="190"/>
      <c r="L381" s="190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 spans="1:26" ht="12.75" customHeight="1">
      <c r="A382" s="190"/>
      <c r="B382" s="190"/>
      <c r="C382" s="190"/>
      <c r="D382" s="190"/>
      <c r="E382" s="190"/>
      <c r="F382" s="190"/>
      <c r="G382" s="190"/>
      <c r="H382" s="190"/>
      <c r="I382" s="190"/>
      <c r="J382" s="190"/>
      <c r="K382" s="190"/>
      <c r="L382" s="190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 spans="1:26" ht="12.75" customHeight="1">
      <c r="A383" s="190"/>
      <c r="B383" s="190"/>
      <c r="C383" s="190"/>
      <c r="D383" s="190"/>
      <c r="E383" s="190"/>
      <c r="F383" s="190"/>
      <c r="G383" s="190"/>
      <c r="H383" s="190"/>
      <c r="I383" s="190"/>
      <c r="J383" s="190"/>
      <c r="K383" s="190"/>
      <c r="L383" s="190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 spans="1:26" ht="12.75" customHeight="1">
      <c r="A384" s="190"/>
      <c r="B384" s="190"/>
      <c r="C384" s="190"/>
      <c r="D384" s="190"/>
      <c r="E384" s="190"/>
      <c r="F384" s="190"/>
      <c r="G384" s="190"/>
      <c r="H384" s="190"/>
      <c r="I384" s="190"/>
      <c r="J384" s="190"/>
      <c r="K384" s="190"/>
      <c r="L384" s="190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 spans="1:26" ht="12.75" customHeight="1">
      <c r="A385" s="190"/>
      <c r="B385" s="190"/>
      <c r="C385" s="190"/>
      <c r="D385" s="190"/>
      <c r="E385" s="190"/>
      <c r="F385" s="190"/>
      <c r="G385" s="190"/>
      <c r="H385" s="190"/>
      <c r="I385" s="190"/>
      <c r="J385" s="190"/>
      <c r="K385" s="190"/>
      <c r="L385" s="190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 spans="1:26" ht="12.75" customHeight="1">
      <c r="A386" s="190"/>
      <c r="B386" s="190"/>
      <c r="C386" s="190"/>
      <c r="D386" s="190"/>
      <c r="E386" s="190"/>
      <c r="F386" s="190"/>
      <c r="G386" s="190"/>
      <c r="H386" s="190"/>
      <c r="I386" s="190"/>
      <c r="J386" s="190"/>
      <c r="K386" s="190"/>
      <c r="L386" s="190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 spans="1:26" ht="12.75" customHeight="1">
      <c r="A387" s="190"/>
      <c r="B387" s="190"/>
      <c r="C387" s="190"/>
      <c r="D387" s="190"/>
      <c r="E387" s="190"/>
      <c r="F387" s="190"/>
      <c r="G387" s="190"/>
      <c r="H387" s="190"/>
      <c r="I387" s="190"/>
      <c r="J387" s="190"/>
      <c r="K387" s="190"/>
      <c r="L387" s="190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 spans="1:26" ht="12.75" customHeight="1">
      <c r="A388" s="190"/>
      <c r="B388" s="190"/>
      <c r="C388" s="190"/>
      <c r="D388" s="190"/>
      <c r="E388" s="190"/>
      <c r="F388" s="190"/>
      <c r="G388" s="190"/>
      <c r="H388" s="190"/>
      <c r="I388" s="190"/>
      <c r="J388" s="190"/>
      <c r="K388" s="190"/>
      <c r="L388" s="190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 spans="1:26" ht="12.75" customHeight="1">
      <c r="A389" s="190"/>
      <c r="B389" s="190"/>
      <c r="C389" s="190"/>
      <c r="D389" s="190"/>
      <c r="E389" s="190"/>
      <c r="F389" s="190"/>
      <c r="G389" s="190"/>
      <c r="H389" s="190"/>
      <c r="I389" s="190"/>
      <c r="J389" s="190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 spans="1:26" ht="12.75" customHeight="1">
      <c r="A390" s="190"/>
      <c r="B390" s="190"/>
      <c r="C390" s="190"/>
      <c r="D390" s="190"/>
      <c r="E390" s="190"/>
      <c r="F390" s="190"/>
      <c r="G390" s="190"/>
      <c r="H390" s="190"/>
      <c r="I390" s="190"/>
      <c r="J390" s="190"/>
      <c r="K390" s="190"/>
      <c r="L390" s="190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 spans="1:26" ht="12.75" customHeight="1">
      <c r="A391" s="190"/>
      <c r="B391" s="190"/>
      <c r="C391" s="190"/>
      <c r="D391" s="190"/>
      <c r="E391" s="190"/>
      <c r="F391" s="190"/>
      <c r="G391" s="190"/>
      <c r="H391" s="190"/>
      <c r="I391" s="190"/>
      <c r="J391" s="190"/>
      <c r="K391" s="190"/>
      <c r="L391" s="190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 spans="1:26" ht="12.75" customHeight="1">
      <c r="A392" s="190"/>
      <c r="B392" s="190"/>
      <c r="C392" s="190"/>
      <c r="D392" s="190"/>
      <c r="E392" s="190"/>
      <c r="F392" s="190"/>
      <c r="G392" s="190"/>
      <c r="H392" s="190"/>
      <c r="I392" s="190"/>
      <c r="J392" s="190"/>
      <c r="K392" s="190"/>
      <c r="L392" s="190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 spans="1:26" ht="12.75" customHeight="1">
      <c r="A393" s="190"/>
      <c r="B393" s="190"/>
      <c r="C393" s="190"/>
      <c r="D393" s="190"/>
      <c r="E393" s="190"/>
      <c r="F393" s="190"/>
      <c r="G393" s="190"/>
      <c r="H393" s="190"/>
      <c r="I393" s="190"/>
      <c r="J393" s="190"/>
      <c r="K393" s="190"/>
      <c r="L393" s="190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 spans="1:26" ht="12.75" customHeight="1">
      <c r="A394" s="190"/>
      <c r="B394" s="190"/>
      <c r="C394" s="190"/>
      <c r="D394" s="190"/>
      <c r="E394" s="190"/>
      <c r="F394" s="190"/>
      <c r="G394" s="190"/>
      <c r="H394" s="190"/>
      <c r="I394" s="190"/>
      <c r="J394" s="190"/>
      <c r="K394" s="190"/>
      <c r="L394" s="190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 spans="1:26" ht="12.75" customHeight="1">
      <c r="A395" s="190"/>
      <c r="B395" s="190"/>
      <c r="C395" s="190"/>
      <c r="D395" s="190"/>
      <c r="E395" s="190"/>
      <c r="F395" s="190"/>
      <c r="G395" s="190"/>
      <c r="H395" s="190"/>
      <c r="I395" s="190"/>
      <c r="J395" s="190"/>
      <c r="K395" s="190"/>
      <c r="L395" s="190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 spans="1:26" ht="12.75" customHeight="1">
      <c r="A396" s="190"/>
      <c r="B396" s="190"/>
      <c r="C396" s="190"/>
      <c r="D396" s="190"/>
      <c r="E396" s="190"/>
      <c r="F396" s="190"/>
      <c r="G396" s="190"/>
      <c r="H396" s="190"/>
      <c r="I396" s="190"/>
      <c r="J396" s="190"/>
      <c r="K396" s="190"/>
      <c r="L396" s="190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 spans="1:26" ht="12.75" customHeight="1">
      <c r="A397" s="190"/>
      <c r="B397" s="190"/>
      <c r="C397" s="190"/>
      <c r="D397" s="190"/>
      <c r="E397" s="190"/>
      <c r="F397" s="190"/>
      <c r="G397" s="190"/>
      <c r="H397" s="190"/>
      <c r="I397" s="190"/>
      <c r="J397" s="190"/>
      <c r="K397" s="190"/>
      <c r="L397" s="190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 spans="1:26" ht="12.75" customHeight="1">
      <c r="A398" s="190"/>
      <c r="B398" s="190"/>
      <c r="C398" s="190"/>
      <c r="D398" s="190"/>
      <c r="E398" s="190"/>
      <c r="F398" s="190"/>
      <c r="G398" s="190"/>
      <c r="H398" s="190"/>
      <c r="I398" s="190"/>
      <c r="J398" s="190"/>
      <c r="K398" s="190"/>
      <c r="L398" s="190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 spans="1:26" ht="12.75" customHeight="1">
      <c r="A399" s="190"/>
      <c r="B399" s="190"/>
      <c r="C399" s="190"/>
      <c r="D399" s="190"/>
      <c r="E399" s="190"/>
      <c r="F399" s="190"/>
      <c r="G399" s="190"/>
      <c r="H399" s="190"/>
      <c r="I399" s="190"/>
      <c r="J399" s="190"/>
      <c r="K399" s="190"/>
      <c r="L399" s="190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 spans="1:26" ht="12.75" customHeight="1">
      <c r="A400" s="190"/>
      <c r="B400" s="190"/>
      <c r="C400" s="190"/>
      <c r="D400" s="190"/>
      <c r="E400" s="190"/>
      <c r="F400" s="190"/>
      <c r="G400" s="190"/>
      <c r="H400" s="190"/>
      <c r="I400" s="190"/>
      <c r="J400" s="190"/>
      <c r="K400" s="190"/>
      <c r="L400" s="190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 spans="1:26" ht="12.75" customHeight="1">
      <c r="A401" s="190"/>
      <c r="B401" s="190"/>
      <c r="C401" s="190"/>
      <c r="D401" s="190"/>
      <c r="E401" s="190"/>
      <c r="F401" s="190"/>
      <c r="G401" s="190"/>
      <c r="H401" s="190"/>
      <c r="I401" s="190"/>
      <c r="J401" s="190"/>
      <c r="K401" s="190"/>
      <c r="L401" s="190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 spans="1:26" ht="12.75" customHeight="1">
      <c r="A402" s="190"/>
      <c r="B402" s="190"/>
      <c r="C402" s="190"/>
      <c r="D402" s="190"/>
      <c r="E402" s="190"/>
      <c r="F402" s="190"/>
      <c r="G402" s="190"/>
      <c r="H402" s="190"/>
      <c r="I402" s="190"/>
      <c r="J402" s="190"/>
      <c r="K402" s="190"/>
      <c r="L402" s="190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 spans="1:26" ht="12.75" customHeight="1">
      <c r="A403" s="190"/>
      <c r="B403" s="190"/>
      <c r="C403" s="190"/>
      <c r="D403" s="190"/>
      <c r="E403" s="190"/>
      <c r="F403" s="190"/>
      <c r="G403" s="190"/>
      <c r="H403" s="190"/>
      <c r="I403" s="190"/>
      <c r="J403" s="190"/>
      <c r="K403" s="190"/>
      <c r="L403" s="190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 spans="1:26" ht="12.75" customHeight="1">
      <c r="A404" s="190"/>
      <c r="B404" s="190"/>
      <c r="C404" s="190"/>
      <c r="D404" s="190"/>
      <c r="E404" s="190"/>
      <c r="F404" s="190"/>
      <c r="G404" s="190"/>
      <c r="H404" s="190"/>
      <c r="I404" s="190"/>
      <c r="J404" s="190"/>
      <c r="K404" s="190"/>
      <c r="L404" s="190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 spans="1:26" ht="12.75" customHeight="1">
      <c r="A405" s="190"/>
      <c r="B405" s="190"/>
      <c r="C405" s="190"/>
      <c r="D405" s="190"/>
      <c r="E405" s="190"/>
      <c r="F405" s="190"/>
      <c r="G405" s="190"/>
      <c r="H405" s="190"/>
      <c r="I405" s="190"/>
      <c r="J405" s="190"/>
      <c r="K405" s="190"/>
      <c r="L405" s="190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 spans="1:26" ht="12.75" customHeight="1">
      <c r="A406" s="190"/>
      <c r="B406" s="190"/>
      <c r="C406" s="190"/>
      <c r="D406" s="190"/>
      <c r="E406" s="190"/>
      <c r="F406" s="190"/>
      <c r="G406" s="190"/>
      <c r="H406" s="190"/>
      <c r="I406" s="190"/>
      <c r="J406" s="190"/>
      <c r="K406" s="190"/>
      <c r="L406" s="190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 spans="1:26" ht="12.75" customHeight="1">
      <c r="A407" s="190"/>
      <c r="B407" s="190"/>
      <c r="C407" s="190"/>
      <c r="D407" s="190"/>
      <c r="E407" s="190"/>
      <c r="F407" s="190"/>
      <c r="G407" s="190"/>
      <c r="H407" s="190"/>
      <c r="I407" s="190"/>
      <c r="J407" s="190"/>
      <c r="K407" s="190"/>
      <c r="L407" s="190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 spans="1:26" ht="12.75" customHeight="1">
      <c r="A408" s="190"/>
      <c r="B408" s="190"/>
      <c r="C408" s="190"/>
      <c r="D408" s="190"/>
      <c r="E408" s="190"/>
      <c r="F408" s="190"/>
      <c r="G408" s="190"/>
      <c r="H408" s="190"/>
      <c r="I408" s="190"/>
      <c r="J408" s="190"/>
      <c r="K408" s="190"/>
      <c r="L408" s="190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 spans="1:26" ht="12.75" customHeight="1">
      <c r="A409" s="190"/>
      <c r="B409" s="190"/>
      <c r="C409" s="190"/>
      <c r="D409" s="190"/>
      <c r="E409" s="190"/>
      <c r="F409" s="190"/>
      <c r="G409" s="190"/>
      <c r="H409" s="190"/>
      <c r="I409" s="190"/>
      <c r="J409" s="190"/>
      <c r="K409" s="190"/>
      <c r="L409" s="190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 spans="1:26" ht="12.75" customHeight="1">
      <c r="A410" s="190"/>
      <c r="B410" s="190"/>
      <c r="C410" s="190"/>
      <c r="D410" s="190"/>
      <c r="E410" s="190"/>
      <c r="F410" s="190"/>
      <c r="G410" s="190"/>
      <c r="H410" s="190"/>
      <c r="I410" s="190"/>
      <c r="J410" s="190"/>
      <c r="K410" s="190"/>
      <c r="L410" s="190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 spans="1:26" ht="12.75" customHeight="1">
      <c r="A411" s="190"/>
      <c r="B411" s="190"/>
      <c r="C411" s="190"/>
      <c r="D411" s="190"/>
      <c r="E411" s="190"/>
      <c r="F411" s="190"/>
      <c r="G411" s="190"/>
      <c r="H411" s="190"/>
      <c r="I411" s="190"/>
      <c r="J411" s="190"/>
      <c r="K411" s="190"/>
      <c r="L411" s="190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 spans="1:26" ht="12.75" customHeight="1">
      <c r="A412" s="190"/>
      <c r="B412" s="190"/>
      <c r="C412" s="190"/>
      <c r="D412" s="190"/>
      <c r="E412" s="190"/>
      <c r="F412" s="190"/>
      <c r="G412" s="190"/>
      <c r="H412" s="190"/>
      <c r="I412" s="190"/>
      <c r="J412" s="190"/>
      <c r="K412" s="190"/>
      <c r="L412" s="190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 spans="1:26" ht="12.75" customHeight="1">
      <c r="A413" s="190"/>
      <c r="B413" s="190"/>
      <c r="C413" s="190"/>
      <c r="D413" s="190"/>
      <c r="E413" s="190"/>
      <c r="F413" s="190"/>
      <c r="G413" s="190"/>
      <c r="H413" s="190"/>
      <c r="I413" s="190"/>
      <c r="J413" s="190"/>
      <c r="K413" s="190"/>
      <c r="L413" s="190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 spans="1:26" ht="12.75" customHeight="1">
      <c r="A414" s="190"/>
      <c r="B414" s="190"/>
      <c r="C414" s="190"/>
      <c r="D414" s="190"/>
      <c r="E414" s="190"/>
      <c r="F414" s="190"/>
      <c r="G414" s="190"/>
      <c r="H414" s="190"/>
      <c r="I414" s="190"/>
      <c r="J414" s="190"/>
      <c r="K414" s="190"/>
      <c r="L414" s="190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 spans="1:26" ht="12.75" customHeight="1">
      <c r="A415" s="190"/>
      <c r="B415" s="190"/>
      <c r="C415" s="190"/>
      <c r="D415" s="190"/>
      <c r="E415" s="190"/>
      <c r="F415" s="190"/>
      <c r="G415" s="190"/>
      <c r="H415" s="190"/>
      <c r="I415" s="190"/>
      <c r="J415" s="190"/>
      <c r="K415" s="190"/>
      <c r="L415" s="190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 spans="1:26" ht="12.75" customHeight="1">
      <c r="A416" s="190"/>
      <c r="B416" s="190"/>
      <c r="C416" s="190"/>
      <c r="D416" s="190"/>
      <c r="E416" s="190"/>
      <c r="F416" s="190"/>
      <c r="G416" s="190"/>
      <c r="H416" s="190"/>
      <c r="I416" s="190"/>
      <c r="J416" s="190"/>
      <c r="K416" s="190"/>
      <c r="L416" s="190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 spans="1:26" ht="12.75" customHeight="1">
      <c r="A417" s="190"/>
      <c r="B417" s="190"/>
      <c r="C417" s="190"/>
      <c r="D417" s="190"/>
      <c r="E417" s="190"/>
      <c r="F417" s="190"/>
      <c r="G417" s="190"/>
      <c r="H417" s="190"/>
      <c r="I417" s="190"/>
      <c r="J417" s="190"/>
      <c r="K417" s="190"/>
      <c r="L417" s="190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 spans="1:26" ht="12.75" customHeight="1">
      <c r="A418" s="190"/>
      <c r="B418" s="190"/>
      <c r="C418" s="190"/>
      <c r="D418" s="190"/>
      <c r="E418" s="190"/>
      <c r="F418" s="190"/>
      <c r="G418" s="190"/>
      <c r="H418" s="190"/>
      <c r="I418" s="190"/>
      <c r="J418" s="190"/>
      <c r="K418" s="190"/>
      <c r="L418" s="190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 spans="1:26" ht="12.75" customHeight="1">
      <c r="A419" s="190"/>
      <c r="B419" s="190"/>
      <c r="C419" s="190"/>
      <c r="D419" s="190"/>
      <c r="E419" s="190"/>
      <c r="F419" s="190"/>
      <c r="G419" s="190"/>
      <c r="H419" s="190"/>
      <c r="I419" s="190"/>
      <c r="J419" s="190"/>
      <c r="K419" s="190"/>
      <c r="L419" s="190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 spans="1:26" ht="12.75" customHeight="1">
      <c r="A420" s="190"/>
      <c r="B420" s="190"/>
      <c r="C420" s="190"/>
      <c r="D420" s="190"/>
      <c r="E420" s="190"/>
      <c r="F420" s="190"/>
      <c r="G420" s="190"/>
      <c r="H420" s="190"/>
      <c r="I420" s="190"/>
      <c r="J420" s="190"/>
      <c r="K420" s="190"/>
      <c r="L420" s="190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spans="1:26" ht="12.75" customHeight="1">
      <c r="A421" s="190"/>
      <c r="B421" s="190"/>
      <c r="C421" s="190"/>
      <c r="D421" s="190"/>
      <c r="E421" s="190"/>
      <c r="F421" s="190"/>
      <c r="G421" s="190"/>
      <c r="H421" s="190"/>
      <c r="I421" s="190"/>
      <c r="J421" s="190"/>
      <c r="K421" s="190"/>
      <c r="L421" s="190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spans="1:26" ht="12.75" customHeight="1">
      <c r="A422" s="190"/>
      <c r="B422" s="190"/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spans="1:26" ht="12.75" customHeight="1">
      <c r="A423" s="190"/>
      <c r="B423" s="190"/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 spans="1:26" ht="12.75" customHeight="1">
      <c r="A424" s="190"/>
      <c r="B424" s="190"/>
      <c r="C424" s="190"/>
      <c r="D424" s="190"/>
      <c r="E424" s="190"/>
      <c r="F424" s="190"/>
      <c r="G424" s="190"/>
      <c r="H424" s="190"/>
      <c r="I424" s="190"/>
      <c r="J424" s="190"/>
      <c r="K424" s="190"/>
      <c r="L424" s="190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 spans="1:26" ht="12.75" customHeight="1">
      <c r="A425" s="190"/>
      <c r="B425" s="190"/>
      <c r="C425" s="190"/>
      <c r="D425" s="190"/>
      <c r="E425" s="190"/>
      <c r="F425" s="190"/>
      <c r="G425" s="190"/>
      <c r="H425" s="190"/>
      <c r="I425" s="190"/>
      <c r="J425" s="190"/>
      <c r="K425" s="190"/>
      <c r="L425" s="190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spans="1:26" ht="12.75" customHeight="1">
      <c r="A426" s="190"/>
      <c r="B426" s="190"/>
      <c r="C426" s="190"/>
      <c r="D426" s="190"/>
      <c r="E426" s="190"/>
      <c r="F426" s="190"/>
      <c r="G426" s="190"/>
      <c r="H426" s="190"/>
      <c r="I426" s="190"/>
      <c r="J426" s="190"/>
      <c r="K426" s="190"/>
      <c r="L426" s="190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spans="1:26" ht="12.75" customHeight="1">
      <c r="A427" s="190"/>
      <c r="B427" s="190"/>
      <c r="C427" s="190"/>
      <c r="D427" s="190"/>
      <c r="E427" s="190"/>
      <c r="F427" s="190"/>
      <c r="G427" s="190"/>
      <c r="H427" s="190"/>
      <c r="I427" s="190"/>
      <c r="J427" s="190"/>
      <c r="K427" s="190"/>
      <c r="L427" s="190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spans="1:26" ht="12.75" customHeight="1">
      <c r="A428" s="190"/>
      <c r="B428" s="190"/>
      <c r="C428" s="190"/>
      <c r="D428" s="190"/>
      <c r="E428" s="190"/>
      <c r="F428" s="190"/>
      <c r="G428" s="190"/>
      <c r="H428" s="190"/>
      <c r="I428" s="190"/>
      <c r="J428" s="190"/>
      <c r="K428" s="190"/>
      <c r="L428" s="190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 spans="1:26" ht="12.75" customHeight="1">
      <c r="A429" s="190"/>
      <c r="B429" s="190"/>
      <c r="C429" s="190"/>
      <c r="D429" s="190"/>
      <c r="E429" s="190"/>
      <c r="F429" s="190"/>
      <c r="G429" s="190"/>
      <c r="H429" s="190"/>
      <c r="I429" s="190"/>
      <c r="J429" s="190"/>
      <c r="K429" s="190"/>
      <c r="L429" s="190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 spans="1:26" ht="12.75" customHeight="1">
      <c r="A430" s="190"/>
      <c r="B430" s="190"/>
      <c r="C430" s="190"/>
      <c r="D430" s="190"/>
      <c r="E430" s="190"/>
      <c r="F430" s="190"/>
      <c r="G430" s="190"/>
      <c r="H430" s="190"/>
      <c r="I430" s="190"/>
      <c r="J430" s="190"/>
      <c r="K430" s="190"/>
      <c r="L430" s="190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 spans="1:26" ht="12.75" customHeight="1">
      <c r="A431" s="190"/>
      <c r="B431" s="190"/>
      <c r="C431" s="190"/>
      <c r="D431" s="190"/>
      <c r="E431" s="190"/>
      <c r="F431" s="190"/>
      <c r="G431" s="190"/>
      <c r="H431" s="190"/>
      <c r="I431" s="190"/>
      <c r="J431" s="190"/>
      <c r="K431" s="190"/>
      <c r="L431" s="190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 spans="1:26" ht="12.75" customHeight="1">
      <c r="A432" s="190"/>
      <c r="B432" s="190"/>
      <c r="C432" s="190"/>
      <c r="D432" s="190"/>
      <c r="E432" s="190"/>
      <c r="F432" s="190"/>
      <c r="G432" s="190"/>
      <c r="H432" s="190"/>
      <c r="I432" s="190"/>
      <c r="J432" s="190"/>
      <c r="K432" s="190"/>
      <c r="L432" s="190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 spans="1:26" ht="12.75" customHeight="1">
      <c r="A433" s="190"/>
      <c r="B433" s="190"/>
      <c r="C433" s="190"/>
      <c r="D433" s="190"/>
      <c r="E433" s="190"/>
      <c r="F433" s="190"/>
      <c r="G433" s="190"/>
      <c r="H433" s="190"/>
      <c r="I433" s="190"/>
      <c r="J433" s="190"/>
      <c r="K433" s="190"/>
      <c r="L433" s="190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 spans="1:26" ht="12.75" customHeight="1">
      <c r="A434" s="190"/>
      <c r="B434" s="190"/>
      <c r="C434" s="190"/>
      <c r="D434" s="190"/>
      <c r="E434" s="190"/>
      <c r="F434" s="190"/>
      <c r="G434" s="190"/>
      <c r="H434" s="190"/>
      <c r="I434" s="190"/>
      <c r="J434" s="190"/>
      <c r="K434" s="190"/>
      <c r="L434" s="190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 spans="1:26" ht="12.75" customHeight="1">
      <c r="A435" s="190"/>
      <c r="B435" s="190"/>
      <c r="C435" s="190"/>
      <c r="D435" s="190"/>
      <c r="E435" s="190"/>
      <c r="F435" s="190"/>
      <c r="G435" s="190"/>
      <c r="H435" s="190"/>
      <c r="I435" s="190"/>
      <c r="J435" s="190"/>
      <c r="K435" s="190"/>
      <c r="L435" s="190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 spans="1:26" ht="12.75" customHeight="1">
      <c r="A436" s="190"/>
      <c r="B436" s="190"/>
      <c r="C436" s="190"/>
      <c r="D436" s="190"/>
      <c r="E436" s="190"/>
      <c r="F436" s="190"/>
      <c r="G436" s="190"/>
      <c r="H436" s="190"/>
      <c r="I436" s="190"/>
      <c r="J436" s="190"/>
      <c r="K436" s="190"/>
      <c r="L436" s="190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 spans="1:26" ht="12.75" customHeight="1">
      <c r="A437" s="190"/>
      <c r="B437" s="190"/>
      <c r="C437" s="190"/>
      <c r="D437" s="190"/>
      <c r="E437" s="190"/>
      <c r="F437" s="190"/>
      <c r="G437" s="190"/>
      <c r="H437" s="190"/>
      <c r="I437" s="190"/>
      <c r="J437" s="190"/>
      <c r="K437" s="190"/>
      <c r="L437" s="190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 spans="1:26" ht="12.75" customHeight="1">
      <c r="A438" s="190"/>
      <c r="B438" s="190"/>
      <c r="C438" s="190"/>
      <c r="D438" s="190"/>
      <c r="E438" s="190"/>
      <c r="F438" s="190"/>
      <c r="G438" s="190"/>
      <c r="H438" s="190"/>
      <c r="I438" s="190"/>
      <c r="J438" s="190"/>
      <c r="K438" s="190"/>
      <c r="L438" s="190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 spans="1:26" ht="12.75" customHeight="1">
      <c r="A439" s="190"/>
      <c r="B439" s="190"/>
      <c r="C439" s="190"/>
      <c r="D439" s="190"/>
      <c r="E439" s="190"/>
      <c r="F439" s="190"/>
      <c r="G439" s="190"/>
      <c r="H439" s="190"/>
      <c r="I439" s="190"/>
      <c r="J439" s="190"/>
      <c r="K439" s="190"/>
      <c r="L439" s="190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 spans="1:26" ht="12.75" customHeight="1">
      <c r="A440" s="190"/>
      <c r="B440" s="190"/>
      <c r="C440" s="190"/>
      <c r="D440" s="190"/>
      <c r="E440" s="190"/>
      <c r="F440" s="190"/>
      <c r="G440" s="190"/>
      <c r="H440" s="190"/>
      <c r="I440" s="190"/>
      <c r="J440" s="190"/>
      <c r="K440" s="190"/>
      <c r="L440" s="190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 spans="1:26" ht="12.75" customHeight="1">
      <c r="A441" s="190"/>
      <c r="B441" s="190"/>
      <c r="C441" s="190"/>
      <c r="D441" s="190"/>
      <c r="E441" s="190"/>
      <c r="F441" s="190"/>
      <c r="G441" s="190"/>
      <c r="H441" s="190"/>
      <c r="I441" s="190"/>
      <c r="J441" s="190"/>
      <c r="K441" s="190"/>
      <c r="L441" s="190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 spans="1:26" ht="12.75" customHeight="1">
      <c r="A442" s="190"/>
      <c r="B442" s="190"/>
      <c r="C442" s="190"/>
      <c r="D442" s="190"/>
      <c r="E442" s="190"/>
      <c r="F442" s="190"/>
      <c r="G442" s="190"/>
      <c r="H442" s="190"/>
      <c r="I442" s="190"/>
      <c r="J442" s="190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 spans="1:26" ht="12.75" customHeight="1">
      <c r="A443" s="190"/>
      <c r="B443" s="190"/>
      <c r="C443" s="190"/>
      <c r="D443" s="190"/>
      <c r="E443" s="190"/>
      <c r="F443" s="190"/>
      <c r="G443" s="190"/>
      <c r="H443" s="190"/>
      <c r="I443" s="190"/>
      <c r="J443" s="190"/>
      <c r="K443" s="190"/>
      <c r="L443" s="190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 spans="1:26" ht="12.75" customHeight="1">
      <c r="A444" s="190"/>
      <c r="B444" s="190"/>
      <c r="C444" s="190"/>
      <c r="D444" s="190"/>
      <c r="E444" s="190"/>
      <c r="F444" s="190"/>
      <c r="G444" s="190"/>
      <c r="H444" s="190"/>
      <c r="I444" s="190"/>
      <c r="J444" s="190"/>
      <c r="K444" s="190"/>
      <c r="L444" s="190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 spans="1:26" ht="12.75" customHeight="1">
      <c r="A445" s="190"/>
      <c r="B445" s="190"/>
      <c r="C445" s="190"/>
      <c r="D445" s="190"/>
      <c r="E445" s="190"/>
      <c r="F445" s="190"/>
      <c r="G445" s="190"/>
      <c r="H445" s="190"/>
      <c r="I445" s="190"/>
      <c r="J445" s="190"/>
      <c r="K445" s="190"/>
      <c r="L445" s="190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 spans="1:26" ht="12.75" customHeight="1">
      <c r="A446" s="190"/>
      <c r="B446" s="190"/>
      <c r="C446" s="190"/>
      <c r="D446" s="190"/>
      <c r="E446" s="190"/>
      <c r="F446" s="190"/>
      <c r="G446" s="190"/>
      <c r="H446" s="190"/>
      <c r="I446" s="190"/>
      <c r="J446" s="190"/>
      <c r="K446" s="190"/>
      <c r="L446" s="190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 spans="1:26" ht="12.75" customHeight="1">
      <c r="A447" s="190"/>
      <c r="B447" s="190"/>
      <c r="C447" s="190"/>
      <c r="D447" s="190"/>
      <c r="E447" s="190"/>
      <c r="F447" s="190"/>
      <c r="G447" s="190"/>
      <c r="H447" s="190"/>
      <c r="I447" s="190"/>
      <c r="J447" s="190"/>
      <c r="K447" s="190"/>
      <c r="L447" s="190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 spans="1:26" ht="12.75" customHeight="1">
      <c r="A448" s="190"/>
      <c r="B448" s="190"/>
      <c r="C448" s="190"/>
      <c r="D448" s="190"/>
      <c r="E448" s="190"/>
      <c r="F448" s="190"/>
      <c r="G448" s="190"/>
      <c r="H448" s="190"/>
      <c r="I448" s="190"/>
      <c r="J448" s="190"/>
      <c r="K448" s="190"/>
      <c r="L448" s="190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 spans="1:26" ht="12.75" customHeight="1">
      <c r="A449" s="190"/>
      <c r="B449" s="190"/>
      <c r="C449" s="190"/>
      <c r="D449" s="190"/>
      <c r="E449" s="190"/>
      <c r="F449" s="190"/>
      <c r="G449" s="190"/>
      <c r="H449" s="190"/>
      <c r="I449" s="190"/>
      <c r="J449" s="190"/>
      <c r="K449" s="190"/>
      <c r="L449" s="190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 spans="1:26" ht="12.75" customHeight="1">
      <c r="A450" s="190"/>
      <c r="B450" s="190"/>
      <c r="C450" s="190"/>
      <c r="D450" s="190"/>
      <c r="E450" s="190"/>
      <c r="F450" s="190"/>
      <c r="G450" s="190"/>
      <c r="H450" s="190"/>
      <c r="I450" s="190"/>
      <c r="J450" s="190"/>
      <c r="K450" s="190"/>
      <c r="L450" s="190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 spans="1:26" ht="12.75" customHeight="1">
      <c r="A451" s="190"/>
      <c r="B451" s="190"/>
      <c r="C451" s="190"/>
      <c r="D451" s="190"/>
      <c r="E451" s="190"/>
      <c r="F451" s="190"/>
      <c r="G451" s="190"/>
      <c r="H451" s="190"/>
      <c r="I451" s="190"/>
      <c r="J451" s="190"/>
      <c r="K451" s="190"/>
      <c r="L451" s="190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 spans="1:26" ht="12.75" customHeight="1">
      <c r="A452" s="190"/>
      <c r="B452" s="190"/>
      <c r="C452" s="190"/>
      <c r="D452" s="190"/>
      <c r="E452" s="190"/>
      <c r="F452" s="190"/>
      <c r="G452" s="190"/>
      <c r="H452" s="190"/>
      <c r="I452" s="190"/>
      <c r="J452" s="190"/>
      <c r="K452" s="190"/>
      <c r="L452" s="190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 spans="1:26" ht="12.75" customHeight="1">
      <c r="A453" s="190"/>
      <c r="B453" s="190"/>
      <c r="C453" s="190"/>
      <c r="D453" s="190"/>
      <c r="E453" s="190"/>
      <c r="F453" s="190"/>
      <c r="G453" s="190"/>
      <c r="H453" s="190"/>
      <c r="I453" s="190"/>
      <c r="J453" s="190"/>
      <c r="K453" s="190"/>
      <c r="L453" s="190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 spans="1:26" ht="12.75" customHeight="1">
      <c r="A454" s="190"/>
      <c r="B454" s="190"/>
      <c r="C454" s="190"/>
      <c r="D454" s="190"/>
      <c r="E454" s="190"/>
      <c r="F454" s="190"/>
      <c r="G454" s="190"/>
      <c r="H454" s="190"/>
      <c r="I454" s="190"/>
      <c r="J454" s="190"/>
      <c r="K454" s="190"/>
      <c r="L454" s="190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 spans="1:26" ht="12.75" customHeight="1">
      <c r="A455" s="190"/>
      <c r="B455" s="190"/>
      <c r="C455" s="190"/>
      <c r="D455" s="190"/>
      <c r="E455" s="190"/>
      <c r="F455" s="190"/>
      <c r="G455" s="190"/>
      <c r="H455" s="190"/>
      <c r="I455" s="190"/>
      <c r="J455" s="190"/>
      <c r="K455" s="190"/>
      <c r="L455" s="190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 spans="1:26" ht="12.75" customHeight="1">
      <c r="A456" s="190"/>
      <c r="B456" s="190"/>
      <c r="C456" s="190"/>
      <c r="D456" s="190"/>
      <c r="E456" s="190"/>
      <c r="F456" s="190"/>
      <c r="G456" s="190"/>
      <c r="H456" s="190"/>
      <c r="I456" s="190"/>
      <c r="J456" s="190"/>
      <c r="K456" s="190"/>
      <c r="L456" s="190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 spans="1:26" ht="12.75" customHeight="1">
      <c r="A457" s="190"/>
      <c r="B457" s="190"/>
      <c r="C457" s="190"/>
      <c r="D457" s="190"/>
      <c r="E457" s="190"/>
      <c r="F457" s="190"/>
      <c r="G457" s="190"/>
      <c r="H457" s="190"/>
      <c r="I457" s="190"/>
      <c r="J457" s="190"/>
      <c r="K457" s="190"/>
      <c r="L457" s="190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 spans="1:26" ht="12.75" customHeight="1">
      <c r="A458" s="190"/>
      <c r="B458" s="190"/>
      <c r="C458" s="190"/>
      <c r="D458" s="190"/>
      <c r="E458" s="190"/>
      <c r="F458" s="190"/>
      <c r="G458" s="190"/>
      <c r="H458" s="190"/>
      <c r="I458" s="190"/>
      <c r="J458" s="190"/>
      <c r="K458" s="190"/>
      <c r="L458" s="190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 spans="1:26" ht="12.75" customHeight="1">
      <c r="A459" s="190"/>
      <c r="B459" s="190"/>
      <c r="C459" s="190"/>
      <c r="D459" s="190"/>
      <c r="E459" s="190"/>
      <c r="F459" s="190"/>
      <c r="G459" s="190"/>
      <c r="H459" s="190"/>
      <c r="I459" s="190"/>
      <c r="J459" s="190"/>
      <c r="K459" s="190"/>
      <c r="L459" s="190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 spans="1:26" ht="12.75" customHeight="1">
      <c r="A460" s="190"/>
      <c r="B460" s="190"/>
      <c r="C460" s="190"/>
      <c r="D460" s="190"/>
      <c r="E460" s="190"/>
      <c r="F460" s="190"/>
      <c r="G460" s="190"/>
      <c r="H460" s="190"/>
      <c r="I460" s="190"/>
      <c r="J460" s="190"/>
      <c r="K460" s="190"/>
      <c r="L460" s="190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 spans="1:26" ht="12.75" customHeight="1">
      <c r="A461" s="190"/>
      <c r="B461" s="190"/>
      <c r="C461" s="190"/>
      <c r="D461" s="190"/>
      <c r="E461" s="190"/>
      <c r="F461" s="190"/>
      <c r="G461" s="190"/>
      <c r="H461" s="190"/>
      <c r="I461" s="190"/>
      <c r="J461" s="190"/>
      <c r="K461" s="190"/>
      <c r="L461" s="190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 spans="1:26" ht="12.75" customHeight="1">
      <c r="A462" s="190"/>
      <c r="B462" s="190"/>
      <c r="C462" s="190"/>
      <c r="D462" s="190"/>
      <c r="E462" s="190"/>
      <c r="F462" s="190"/>
      <c r="G462" s="190"/>
      <c r="H462" s="190"/>
      <c r="I462" s="190"/>
      <c r="J462" s="190"/>
      <c r="K462" s="190"/>
      <c r="L462" s="190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 spans="1:26" ht="12.75" customHeight="1">
      <c r="A463" s="190"/>
      <c r="B463" s="190"/>
      <c r="C463" s="190"/>
      <c r="D463" s="190"/>
      <c r="E463" s="190"/>
      <c r="F463" s="190"/>
      <c r="G463" s="190"/>
      <c r="H463" s="190"/>
      <c r="I463" s="190"/>
      <c r="J463" s="190"/>
      <c r="K463" s="190"/>
      <c r="L463" s="190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 spans="1:26" ht="12.75" customHeight="1">
      <c r="A464" s="190"/>
      <c r="B464" s="190"/>
      <c r="C464" s="190"/>
      <c r="D464" s="190"/>
      <c r="E464" s="190"/>
      <c r="F464" s="190"/>
      <c r="G464" s="190"/>
      <c r="H464" s="190"/>
      <c r="I464" s="190"/>
      <c r="J464" s="190"/>
      <c r="K464" s="190"/>
      <c r="L464" s="190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 spans="1:26" ht="12.75" customHeight="1">
      <c r="A465" s="190"/>
      <c r="B465" s="190"/>
      <c r="C465" s="190"/>
      <c r="D465" s="190"/>
      <c r="E465" s="190"/>
      <c r="F465" s="190"/>
      <c r="G465" s="190"/>
      <c r="H465" s="190"/>
      <c r="I465" s="190"/>
      <c r="J465" s="190"/>
      <c r="K465" s="190"/>
      <c r="L465" s="190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 spans="1:26" ht="12.75" customHeight="1">
      <c r="A466" s="190"/>
      <c r="B466" s="190"/>
      <c r="C466" s="190"/>
      <c r="D466" s="190"/>
      <c r="E466" s="190"/>
      <c r="F466" s="190"/>
      <c r="G466" s="190"/>
      <c r="H466" s="190"/>
      <c r="I466" s="190"/>
      <c r="J466" s="190"/>
      <c r="K466" s="190"/>
      <c r="L466" s="190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 spans="1:26" ht="12.75" customHeight="1">
      <c r="A467" s="190"/>
      <c r="B467" s="190"/>
      <c r="C467" s="190"/>
      <c r="D467" s="190"/>
      <c r="E467" s="190"/>
      <c r="F467" s="190"/>
      <c r="G467" s="190"/>
      <c r="H467" s="190"/>
      <c r="I467" s="190"/>
      <c r="J467" s="190"/>
      <c r="K467" s="190"/>
      <c r="L467" s="190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 spans="1:26" ht="12.75" customHeight="1">
      <c r="A468" s="190"/>
      <c r="B468" s="190"/>
      <c r="C468" s="190"/>
      <c r="D468" s="190"/>
      <c r="E468" s="190"/>
      <c r="F468" s="190"/>
      <c r="G468" s="190"/>
      <c r="H468" s="190"/>
      <c r="I468" s="190"/>
      <c r="J468" s="190"/>
      <c r="K468" s="190"/>
      <c r="L468" s="190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 spans="1:26" ht="12.75" customHeight="1">
      <c r="A469" s="190"/>
      <c r="B469" s="190"/>
      <c r="C469" s="190"/>
      <c r="D469" s="190"/>
      <c r="E469" s="190"/>
      <c r="F469" s="190"/>
      <c r="G469" s="190"/>
      <c r="H469" s="190"/>
      <c r="I469" s="190"/>
      <c r="J469" s="190"/>
      <c r="K469" s="190"/>
      <c r="L469" s="190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 spans="1:26" ht="12.75" customHeight="1">
      <c r="A470" s="190"/>
      <c r="B470" s="190"/>
      <c r="C470" s="190"/>
      <c r="D470" s="190"/>
      <c r="E470" s="190"/>
      <c r="F470" s="190"/>
      <c r="G470" s="190"/>
      <c r="H470" s="190"/>
      <c r="I470" s="190"/>
      <c r="J470" s="190"/>
      <c r="K470" s="190"/>
      <c r="L470" s="190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 spans="1:26" ht="12.75" customHeight="1">
      <c r="A471" s="190"/>
      <c r="B471" s="190"/>
      <c r="C471" s="190"/>
      <c r="D471" s="190"/>
      <c r="E471" s="190"/>
      <c r="F471" s="190"/>
      <c r="G471" s="190"/>
      <c r="H471" s="190"/>
      <c r="I471" s="190"/>
      <c r="J471" s="190"/>
      <c r="K471" s="190"/>
      <c r="L471" s="190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 spans="1:26" ht="12.75" customHeight="1">
      <c r="A472" s="190"/>
      <c r="B472" s="190"/>
      <c r="C472" s="190"/>
      <c r="D472" s="190"/>
      <c r="E472" s="190"/>
      <c r="F472" s="190"/>
      <c r="G472" s="190"/>
      <c r="H472" s="190"/>
      <c r="I472" s="190"/>
      <c r="J472" s="190"/>
      <c r="K472" s="190"/>
      <c r="L472" s="190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 spans="1:26" ht="12.75" customHeight="1">
      <c r="A473" s="190"/>
      <c r="B473" s="190"/>
      <c r="C473" s="190"/>
      <c r="D473" s="190"/>
      <c r="E473" s="190"/>
      <c r="F473" s="190"/>
      <c r="G473" s="190"/>
      <c r="H473" s="190"/>
      <c r="I473" s="190"/>
      <c r="J473" s="190"/>
      <c r="K473" s="190"/>
      <c r="L473" s="190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 spans="1:26" ht="12.75" customHeight="1">
      <c r="A474" s="190"/>
      <c r="B474" s="190"/>
      <c r="C474" s="190"/>
      <c r="D474" s="190"/>
      <c r="E474" s="190"/>
      <c r="F474" s="190"/>
      <c r="G474" s="190"/>
      <c r="H474" s="190"/>
      <c r="I474" s="190"/>
      <c r="J474" s="190"/>
      <c r="K474" s="190"/>
      <c r="L474" s="190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 spans="1:26" ht="12.75" customHeight="1">
      <c r="A475" s="190"/>
      <c r="B475" s="190"/>
      <c r="C475" s="190"/>
      <c r="D475" s="190"/>
      <c r="E475" s="190"/>
      <c r="F475" s="190"/>
      <c r="G475" s="190"/>
      <c r="H475" s="190"/>
      <c r="I475" s="190"/>
      <c r="J475" s="190"/>
      <c r="K475" s="190"/>
      <c r="L475" s="190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 spans="1:26" ht="12.75" customHeight="1">
      <c r="A476" s="190"/>
      <c r="B476" s="190"/>
      <c r="C476" s="190"/>
      <c r="D476" s="190"/>
      <c r="E476" s="190"/>
      <c r="F476" s="190"/>
      <c r="G476" s="190"/>
      <c r="H476" s="190"/>
      <c r="I476" s="190"/>
      <c r="J476" s="190"/>
      <c r="K476" s="190"/>
      <c r="L476" s="190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 spans="1:26" ht="12.75" customHeight="1">
      <c r="A477" s="190"/>
      <c r="B477" s="190"/>
      <c r="C477" s="190"/>
      <c r="D477" s="190"/>
      <c r="E477" s="190"/>
      <c r="F477" s="190"/>
      <c r="G477" s="190"/>
      <c r="H477" s="190"/>
      <c r="I477" s="190"/>
      <c r="J477" s="190"/>
      <c r="K477" s="190"/>
      <c r="L477" s="190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 spans="1:26" ht="12.75" customHeight="1">
      <c r="A478" s="190"/>
      <c r="B478" s="190"/>
      <c r="C478" s="190"/>
      <c r="D478" s="190"/>
      <c r="E478" s="190"/>
      <c r="F478" s="190"/>
      <c r="G478" s="190"/>
      <c r="H478" s="190"/>
      <c r="I478" s="190"/>
      <c r="J478" s="190"/>
      <c r="K478" s="190"/>
      <c r="L478" s="190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 spans="1:26" ht="12.75" customHeight="1">
      <c r="A479" s="190"/>
      <c r="B479" s="190"/>
      <c r="C479" s="190"/>
      <c r="D479" s="190"/>
      <c r="E479" s="190"/>
      <c r="F479" s="190"/>
      <c r="G479" s="190"/>
      <c r="H479" s="190"/>
      <c r="I479" s="190"/>
      <c r="J479" s="190"/>
      <c r="K479" s="190"/>
      <c r="L479" s="190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 spans="1:26" ht="12.75" customHeight="1">
      <c r="A480" s="190"/>
      <c r="B480" s="190"/>
      <c r="C480" s="190"/>
      <c r="D480" s="190"/>
      <c r="E480" s="190"/>
      <c r="F480" s="190"/>
      <c r="G480" s="190"/>
      <c r="H480" s="190"/>
      <c r="I480" s="190"/>
      <c r="J480" s="190"/>
      <c r="K480" s="190"/>
      <c r="L480" s="190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 spans="1:26" ht="12.75" customHeight="1">
      <c r="A481" s="190"/>
      <c r="B481" s="190"/>
      <c r="C481" s="190"/>
      <c r="D481" s="190"/>
      <c r="E481" s="190"/>
      <c r="F481" s="190"/>
      <c r="G481" s="190"/>
      <c r="H481" s="190"/>
      <c r="I481" s="190"/>
      <c r="J481" s="190"/>
      <c r="K481" s="190"/>
      <c r="L481" s="190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 spans="1:26" ht="12.75" customHeight="1">
      <c r="A482" s="190"/>
      <c r="B482" s="190"/>
      <c r="C482" s="190"/>
      <c r="D482" s="190"/>
      <c r="E482" s="190"/>
      <c r="F482" s="190"/>
      <c r="G482" s="190"/>
      <c r="H482" s="190"/>
      <c r="I482" s="190"/>
      <c r="J482" s="190"/>
      <c r="K482" s="190"/>
      <c r="L482" s="190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 spans="1:26" ht="12.75" customHeight="1">
      <c r="A483" s="190"/>
      <c r="B483" s="190"/>
      <c r="C483" s="190"/>
      <c r="D483" s="190"/>
      <c r="E483" s="190"/>
      <c r="F483" s="190"/>
      <c r="G483" s="190"/>
      <c r="H483" s="190"/>
      <c r="I483" s="190"/>
      <c r="J483" s="190"/>
      <c r="K483" s="190"/>
      <c r="L483" s="190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 spans="1:26" ht="12.75" customHeight="1">
      <c r="A484" s="190"/>
      <c r="B484" s="190"/>
      <c r="C484" s="190"/>
      <c r="D484" s="190"/>
      <c r="E484" s="190"/>
      <c r="F484" s="190"/>
      <c r="G484" s="190"/>
      <c r="H484" s="190"/>
      <c r="I484" s="190"/>
      <c r="J484" s="190"/>
      <c r="K484" s="190"/>
      <c r="L484" s="190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 spans="1:26" ht="12.75" customHeight="1">
      <c r="A485" s="190"/>
      <c r="B485" s="190"/>
      <c r="C485" s="190"/>
      <c r="D485" s="190"/>
      <c r="E485" s="190"/>
      <c r="F485" s="190"/>
      <c r="G485" s="190"/>
      <c r="H485" s="190"/>
      <c r="I485" s="190"/>
      <c r="J485" s="190"/>
      <c r="K485" s="190"/>
      <c r="L485" s="190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 spans="1:26" ht="12.75" customHeight="1">
      <c r="A486" s="190"/>
      <c r="B486" s="190"/>
      <c r="C486" s="190"/>
      <c r="D486" s="190"/>
      <c r="E486" s="190"/>
      <c r="F486" s="190"/>
      <c r="G486" s="190"/>
      <c r="H486" s="190"/>
      <c r="I486" s="190"/>
      <c r="J486" s="190"/>
      <c r="K486" s="190"/>
      <c r="L486" s="190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 spans="1:26" ht="12.75" customHeight="1">
      <c r="A487" s="190"/>
      <c r="B487" s="190"/>
      <c r="C487" s="190"/>
      <c r="D487" s="190"/>
      <c r="E487" s="190"/>
      <c r="F487" s="190"/>
      <c r="G487" s="190"/>
      <c r="H487" s="190"/>
      <c r="I487" s="190"/>
      <c r="J487" s="190"/>
      <c r="K487" s="190"/>
      <c r="L487" s="190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 spans="1:26" ht="12.75" customHeight="1">
      <c r="A488" s="190"/>
      <c r="B488" s="190"/>
      <c r="C488" s="190"/>
      <c r="D488" s="190"/>
      <c r="E488" s="190"/>
      <c r="F488" s="190"/>
      <c r="G488" s="190"/>
      <c r="H488" s="190"/>
      <c r="I488" s="190"/>
      <c r="J488" s="190"/>
      <c r="K488" s="190"/>
      <c r="L488" s="190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 spans="1:26" ht="12.75" customHeight="1">
      <c r="A489" s="190"/>
      <c r="B489" s="190"/>
      <c r="C489" s="190"/>
      <c r="D489" s="190"/>
      <c r="E489" s="190"/>
      <c r="F489" s="190"/>
      <c r="G489" s="190"/>
      <c r="H489" s="190"/>
      <c r="I489" s="190"/>
      <c r="J489" s="190"/>
      <c r="K489" s="190"/>
      <c r="L489" s="190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 spans="1:26" ht="12.75" customHeight="1">
      <c r="A490" s="190"/>
      <c r="B490" s="190"/>
      <c r="C490" s="190"/>
      <c r="D490" s="190"/>
      <c r="E490" s="190"/>
      <c r="F490" s="190"/>
      <c r="G490" s="190"/>
      <c r="H490" s="190"/>
      <c r="I490" s="190"/>
      <c r="J490" s="190"/>
      <c r="K490" s="190"/>
      <c r="L490" s="190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 spans="1:26" ht="12.75" customHeight="1">
      <c r="A491" s="190"/>
      <c r="B491" s="190"/>
      <c r="C491" s="190"/>
      <c r="D491" s="190"/>
      <c r="E491" s="190"/>
      <c r="F491" s="190"/>
      <c r="G491" s="190"/>
      <c r="H491" s="190"/>
      <c r="I491" s="190"/>
      <c r="J491" s="190"/>
      <c r="K491" s="190"/>
      <c r="L491" s="190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 spans="1:26" ht="12.75" customHeight="1">
      <c r="A492" s="190"/>
      <c r="B492" s="190"/>
      <c r="C492" s="190"/>
      <c r="D492" s="190"/>
      <c r="E492" s="190"/>
      <c r="F492" s="190"/>
      <c r="G492" s="190"/>
      <c r="H492" s="190"/>
      <c r="I492" s="190"/>
      <c r="J492" s="190"/>
      <c r="K492" s="190"/>
      <c r="L492" s="190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 spans="1:26" ht="12.75" customHeight="1">
      <c r="A493" s="190"/>
      <c r="B493" s="190"/>
      <c r="C493" s="190"/>
      <c r="D493" s="190"/>
      <c r="E493" s="190"/>
      <c r="F493" s="190"/>
      <c r="G493" s="190"/>
      <c r="H493" s="190"/>
      <c r="I493" s="190"/>
      <c r="J493" s="190"/>
      <c r="K493" s="190"/>
      <c r="L493" s="190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 spans="1:26" ht="12.75" customHeight="1">
      <c r="A494" s="190"/>
      <c r="B494" s="190"/>
      <c r="C494" s="190"/>
      <c r="D494" s="190"/>
      <c r="E494" s="190"/>
      <c r="F494" s="190"/>
      <c r="G494" s="190"/>
      <c r="H494" s="190"/>
      <c r="I494" s="190"/>
      <c r="J494" s="190"/>
      <c r="K494" s="190"/>
      <c r="L494" s="190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 spans="1:26" ht="12.75" customHeight="1">
      <c r="A495" s="190"/>
      <c r="B495" s="190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 spans="1:26" ht="12.75" customHeight="1">
      <c r="A496" s="190"/>
      <c r="B496" s="190"/>
      <c r="C496" s="190"/>
      <c r="D496" s="190"/>
      <c r="E496" s="190"/>
      <c r="F496" s="190"/>
      <c r="G496" s="190"/>
      <c r="H496" s="190"/>
      <c r="I496" s="190"/>
      <c r="J496" s="190"/>
      <c r="K496" s="190"/>
      <c r="L496" s="190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 spans="1:26" ht="12.75" customHeight="1">
      <c r="A497" s="190"/>
      <c r="B497" s="190"/>
      <c r="C497" s="190"/>
      <c r="D497" s="190"/>
      <c r="E497" s="190"/>
      <c r="F497" s="190"/>
      <c r="G497" s="190"/>
      <c r="H497" s="190"/>
      <c r="I497" s="190"/>
      <c r="J497" s="190"/>
      <c r="K497" s="190"/>
      <c r="L497" s="190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 spans="1:26" ht="12.75" customHeight="1">
      <c r="A498" s="190"/>
      <c r="B498" s="190"/>
      <c r="C498" s="190"/>
      <c r="D498" s="190"/>
      <c r="E498" s="190"/>
      <c r="F498" s="190"/>
      <c r="G498" s="190"/>
      <c r="H498" s="190"/>
      <c r="I498" s="190"/>
      <c r="J498" s="190"/>
      <c r="K498" s="190"/>
      <c r="L498" s="190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 spans="1:26" ht="12.75" customHeight="1">
      <c r="A499" s="190"/>
      <c r="B499" s="190"/>
      <c r="C499" s="190"/>
      <c r="D499" s="190"/>
      <c r="E499" s="190"/>
      <c r="F499" s="190"/>
      <c r="G499" s="190"/>
      <c r="H499" s="190"/>
      <c r="I499" s="190"/>
      <c r="J499" s="190"/>
      <c r="K499" s="190"/>
      <c r="L499" s="190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 spans="1:26" ht="12.75" customHeight="1">
      <c r="A500" s="190"/>
      <c r="B500" s="190"/>
      <c r="C500" s="190"/>
      <c r="D500" s="190"/>
      <c r="E500" s="190"/>
      <c r="F500" s="190"/>
      <c r="G500" s="190"/>
      <c r="H500" s="190"/>
      <c r="I500" s="190"/>
      <c r="J500" s="190"/>
      <c r="K500" s="190"/>
      <c r="L500" s="190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 spans="1:26" ht="12.75" customHeight="1">
      <c r="A501" s="190"/>
      <c r="B501" s="190"/>
      <c r="C501" s="190"/>
      <c r="D501" s="190"/>
      <c r="E501" s="190"/>
      <c r="F501" s="190"/>
      <c r="G501" s="190"/>
      <c r="H501" s="190"/>
      <c r="I501" s="190"/>
      <c r="J501" s="190"/>
      <c r="K501" s="190"/>
      <c r="L501" s="190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 spans="1:26" ht="12.75" customHeight="1">
      <c r="A502" s="190"/>
      <c r="B502" s="190"/>
      <c r="C502" s="190"/>
      <c r="D502" s="190"/>
      <c r="E502" s="190"/>
      <c r="F502" s="190"/>
      <c r="G502" s="190"/>
      <c r="H502" s="190"/>
      <c r="I502" s="190"/>
      <c r="J502" s="190"/>
      <c r="K502" s="190"/>
      <c r="L502" s="190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 spans="1:26" ht="12.75" customHeight="1">
      <c r="A503" s="190"/>
      <c r="B503" s="190"/>
      <c r="C503" s="190"/>
      <c r="D503" s="190"/>
      <c r="E503" s="190"/>
      <c r="F503" s="190"/>
      <c r="G503" s="190"/>
      <c r="H503" s="190"/>
      <c r="I503" s="190"/>
      <c r="J503" s="190"/>
      <c r="K503" s="190"/>
      <c r="L503" s="190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 spans="1:26" ht="12.75" customHeight="1">
      <c r="A504" s="190"/>
      <c r="B504" s="190"/>
      <c r="C504" s="190"/>
      <c r="D504" s="190"/>
      <c r="E504" s="190"/>
      <c r="F504" s="190"/>
      <c r="G504" s="190"/>
      <c r="H504" s="190"/>
      <c r="I504" s="190"/>
      <c r="J504" s="190"/>
      <c r="K504" s="190"/>
      <c r="L504" s="190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 spans="1:26" ht="12.75" customHeight="1">
      <c r="A505" s="190"/>
      <c r="B505" s="190"/>
      <c r="C505" s="190"/>
      <c r="D505" s="190"/>
      <c r="E505" s="190"/>
      <c r="F505" s="190"/>
      <c r="G505" s="190"/>
      <c r="H505" s="190"/>
      <c r="I505" s="190"/>
      <c r="J505" s="190"/>
      <c r="K505" s="190"/>
      <c r="L505" s="190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 spans="1:26" ht="12.75" customHeight="1">
      <c r="A506" s="190"/>
      <c r="B506" s="190"/>
      <c r="C506" s="190"/>
      <c r="D506" s="190"/>
      <c r="E506" s="190"/>
      <c r="F506" s="190"/>
      <c r="G506" s="190"/>
      <c r="H506" s="190"/>
      <c r="I506" s="190"/>
      <c r="J506" s="190"/>
      <c r="K506" s="190"/>
      <c r="L506" s="190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 spans="1:26" ht="12.75" customHeight="1">
      <c r="A507" s="190"/>
      <c r="B507" s="190"/>
      <c r="C507" s="190"/>
      <c r="D507" s="190"/>
      <c r="E507" s="190"/>
      <c r="F507" s="190"/>
      <c r="G507" s="190"/>
      <c r="H507" s="190"/>
      <c r="I507" s="190"/>
      <c r="J507" s="190"/>
      <c r="K507" s="190"/>
      <c r="L507" s="190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 spans="1:26" ht="12.75" customHeight="1">
      <c r="A508" s="190"/>
      <c r="B508" s="190"/>
      <c r="C508" s="190"/>
      <c r="D508" s="190"/>
      <c r="E508" s="190"/>
      <c r="F508" s="190"/>
      <c r="G508" s="190"/>
      <c r="H508" s="190"/>
      <c r="I508" s="190"/>
      <c r="J508" s="190"/>
      <c r="K508" s="190"/>
      <c r="L508" s="190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 spans="1:26" ht="12.75" customHeight="1">
      <c r="A509" s="190"/>
      <c r="B509" s="190"/>
      <c r="C509" s="190"/>
      <c r="D509" s="190"/>
      <c r="E509" s="190"/>
      <c r="F509" s="190"/>
      <c r="G509" s="190"/>
      <c r="H509" s="190"/>
      <c r="I509" s="190"/>
      <c r="J509" s="190"/>
      <c r="K509" s="190"/>
      <c r="L509" s="190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 spans="1:26" ht="12.75" customHeight="1">
      <c r="A510" s="190"/>
      <c r="B510" s="190"/>
      <c r="C510" s="190"/>
      <c r="D510" s="190"/>
      <c r="E510" s="190"/>
      <c r="F510" s="190"/>
      <c r="G510" s="190"/>
      <c r="H510" s="190"/>
      <c r="I510" s="190"/>
      <c r="J510" s="190"/>
      <c r="K510" s="190"/>
      <c r="L510" s="190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 spans="1:26" ht="12.75" customHeight="1">
      <c r="A511" s="190"/>
      <c r="B511" s="190"/>
      <c r="C511" s="190"/>
      <c r="D511" s="190"/>
      <c r="E511" s="190"/>
      <c r="F511" s="190"/>
      <c r="G511" s="190"/>
      <c r="H511" s="190"/>
      <c r="I511" s="190"/>
      <c r="J511" s="190"/>
      <c r="K511" s="190"/>
      <c r="L511" s="190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 spans="1:26" ht="12.75" customHeight="1">
      <c r="A512" s="190"/>
      <c r="B512" s="190"/>
      <c r="C512" s="190"/>
      <c r="D512" s="190"/>
      <c r="E512" s="190"/>
      <c r="F512" s="190"/>
      <c r="G512" s="190"/>
      <c r="H512" s="190"/>
      <c r="I512" s="190"/>
      <c r="J512" s="190"/>
      <c r="K512" s="190"/>
      <c r="L512" s="190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 spans="1:26" ht="12.75" customHeight="1">
      <c r="A513" s="190"/>
      <c r="B513" s="190"/>
      <c r="C513" s="190"/>
      <c r="D513" s="190"/>
      <c r="E513" s="190"/>
      <c r="F513" s="190"/>
      <c r="G513" s="190"/>
      <c r="H513" s="190"/>
      <c r="I513" s="190"/>
      <c r="J513" s="190"/>
      <c r="K513" s="190"/>
      <c r="L513" s="190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 spans="1:26" ht="12.75" customHeight="1">
      <c r="A514" s="190"/>
      <c r="B514" s="190"/>
      <c r="C514" s="190"/>
      <c r="D514" s="190"/>
      <c r="E514" s="190"/>
      <c r="F514" s="190"/>
      <c r="G514" s="190"/>
      <c r="H514" s="190"/>
      <c r="I514" s="190"/>
      <c r="J514" s="190"/>
      <c r="K514" s="190"/>
      <c r="L514" s="190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 spans="1:26" ht="12.75" customHeight="1">
      <c r="A515" s="190"/>
      <c r="B515" s="190"/>
      <c r="C515" s="190"/>
      <c r="D515" s="190"/>
      <c r="E515" s="190"/>
      <c r="F515" s="190"/>
      <c r="G515" s="190"/>
      <c r="H515" s="190"/>
      <c r="I515" s="190"/>
      <c r="J515" s="190"/>
      <c r="K515" s="190"/>
      <c r="L515" s="190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 spans="1:26" ht="12.75" customHeight="1">
      <c r="A516" s="190"/>
      <c r="B516" s="190"/>
      <c r="C516" s="190"/>
      <c r="D516" s="190"/>
      <c r="E516" s="190"/>
      <c r="F516" s="190"/>
      <c r="G516" s="190"/>
      <c r="H516" s="190"/>
      <c r="I516" s="190"/>
      <c r="J516" s="190"/>
      <c r="K516" s="190"/>
      <c r="L516" s="190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 spans="1:26" ht="12.75" customHeight="1">
      <c r="A517" s="190"/>
      <c r="B517" s="190"/>
      <c r="C517" s="190"/>
      <c r="D517" s="190"/>
      <c r="E517" s="190"/>
      <c r="F517" s="190"/>
      <c r="G517" s="190"/>
      <c r="H517" s="190"/>
      <c r="I517" s="190"/>
      <c r="J517" s="190"/>
      <c r="K517" s="190"/>
      <c r="L517" s="190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 spans="1:26" ht="12.75" customHeight="1">
      <c r="A518" s="190"/>
      <c r="B518" s="190"/>
      <c r="C518" s="190"/>
      <c r="D518" s="190"/>
      <c r="E518" s="190"/>
      <c r="F518" s="190"/>
      <c r="G518" s="190"/>
      <c r="H518" s="190"/>
      <c r="I518" s="190"/>
      <c r="J518" s="190"/>
      <c r="K518" s="190"/>
      <c r="L518" s="190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 spans="1:26" ht="12.75" customHeight="1">
      <c r="A519" s="190"/>
      <c r="B519" s="190"/>
      <c r="C519" s="190"/>
      <c r="D519" s="190"/>
      <c r="E519" s="190"/>
      <c r="F519" s="190"/>
      <c r="G519" s="190"/>
      <c r="H519" s="190"/>
      <c r="I519" s="190"/>
      <c r="J519" s="190"/>
      <c r="K519" s="190"/>
      <c r="L519" s="190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 spans="1:26" ht="12.75" customHeight="1">
      <c r="A520" s="190"/>
      <c r="B520" s="190"/>
      <c r="C520" s="190"/>
      <c r="D520" s="190"/>
      <c r="E520" s="190"/>
      <c r="F520" s="190"/>
      <c r="G520" s="190"/>
      <c r="H520" s="190"/>
      <c r="I520" s="190"/>
      <c r="J520" s="190"/>
      <c r="K520" s="190"/>
      <c r="L520" s="190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 spans="1:26" ht="12.75" customHeight="1">
      <c r="A521" s="190"/>
      <c r="B521" s="190"/>
      <c r="C521" s="190"/>
      <c r="D521" s="190"/>
      <c r="E521" s="190"/>
      <c r="F521" s="190"/>
      <c r="G521" s="190"/>
      <c r="H521" s="190"/>
      <c r="I521" s="190"/>
      <c r="J521" s="190"/>
      <c r="K521" s="190"/>
      <c r="L521" s="190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 spans="1:26" ht="12.75" customHeight="1">
      <c r="A522" s="190"/>
      <c r="B522" s="190"/>
      <c r="C522" s="190"/>
      <c r="D522" s="190"/>
      <c r="E522" s="190"/>
      <c r="F522" s="190"/>
      <c r="G522" s="190"/>
      <c r="H522" s="190"/>
      <c r="I522" s="190"/>
      <c r="J522" s="190"/>
      <c r="K522" s="190"/>
      <c r="L522" s="190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 spans="1:26" ht="12.75" customHeight="1">
      <c r="A523" s="190"/>
      <c r="B523" s="190"/>
      <c r="C523" s="190"/>
      <c r="D523" s="190"/>
      <c r="E523" s="190"/>
      <c r="F523" s="190"/>
      <c r="G523" s="190"/>
      <c r="H523" s="190"/>
      <c r="I523" s="190"/>
      <c r="J523" s="190"/>
      <c r="K523" s="190"/>
      <c r="L523" s="190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 spans="1:26" ht="12.75" customHeight="1">
      <c r="A524" s="190"/>
      <c r="B524" s="190"/>
      <c r="C524" s="190"/>
      <c r="D524" s="190"/>
      <c r="E524" s="190"/>
      <c r="F524" s="190"/>
      <c r="G524" s="190"/>
      <c r="H524" s="190"/>
      <c r="I524" s="190"/>
      <c r="J524" s="190"/>
      <c r="K524" s="190"/>
      <c r="L524" s="190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 spans="1:26" ht="12.75" customHeight="1">
      <c r="A525" s="190"/>
      <c r="B525" s="190"/>
      <c r="C525" s="190"/>
      <c r="D525" s="190"/>
      <c r="E525" s="190"/>
      <c r="F525" s="190"/>
      <c r="G525" s="190"/>
      <c r="H525" s="190"/>
      <c r="I525" s="190"/>
      <c r="J525" s="190"/>
      <c r="K525" s="190"/>
      <c r="L525" s="190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 spans="1:26" ht="12.75" customHeight="1">
      <c r="A526" s="190"/>
      <c r="B526" s="190"/>
      <c r="C526" s="190"/>
      <c r="D526" s="190"/>
      <c r="E526" s="190"/>
      <c r="F526" s="190"/>
      <c r="G526" s="190"/>
      <c r="H526" s="190"/>
      <c r="I526" s="190"/>
      <c r="J526" s="190"/>
      <c r="K526" s="190"/>
      <c r="L526" s="190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 spans="1:26" ht="12.75" customHeight="1">
      <c r="A527" s="190"/>
      <c r="B527" s="190"/>
      <c r="C527" s="190"/>
      <c r="D527" s="190"/>
      <c r="E527" s="190"/>
      <c r="F527" s="190"/>
      <c r="G527" s="190"/>
      <c r="H527" s="190"/>
      <c r="I527" s="190"/>
      <c r="J527" s="190"/>
      <c r="K527" s="190"/>
      <c r="L527" s="190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 spans="1:26" ht="12.75" customHeight="1">
      <c r="A528" s="190"/>
      <c r="B528" s="190"/>
      <c r="C528" s="190"/>
      <c r="D528" s="190"/>
      <c r="E528" s="190"/>
      <c r="F528" s="190"/>
      <c r="G528" s="190"/>
      <c r="H528" s="190"/>
      <c r="I528" s="190"/>
      <c r="J528" s="190"/>
      <c r="K528" s="190"/>
      <c r="L528" s="190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 spans="1:26" ht="12.75" customHeight="1">
      <c r="A529" s="190"/>
      <c r="B529" s="190"/>
      <c r="C529" s="190"/>
      <c r="D529" s="190"/>
      <c r="E529" s="190"/>
      <c r="F529" s="190"/>
      <c r="G529" s="190"/>
      <c r="H529" s="190"/>
      <c r="I529" s="190"/>
      <c r="J529" s="190"/>
      <c r="K529" s="190"/>
      <c r="L529" s="190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 spans="1:26" ht="12.75" customHeight="1">
      <c r="A530" s="190"/>
      <c r="B530" s="190"/>
      <c r="C530" s="190"/>
      <c r="D530" s="190"/>
      <c r="E530" s="190"/>
      <c r="F530" s="190"/>
      <c r="G530" s="190"/>
      <c r="H530" s="190"/>
      <c r="I530" s="190"/>
      <c r="J530" s="190"/>
      <c r="K530" s="190"/>
      <c r="L530" s="190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 spans="1:26" ht="12.75" customHeight="1">
      <c r="A531" s="190"/>
      <c r="B531" s="190"/>
      <c r="C531" s="190"/>
      <c r="D531" s="190"/>
      <c r="E531" s="190"/>
      <c r="F531" s="190"/>
      <c r="G531" s="190"/>
      <c r="H531" s="190"/>
      <c r="I531" s="190"/>
      <c r="J531" s="190"/>
      <c r="K531" s="190"/>
      <c r="L531" s="190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 spans="1:26" ht="12.75" customHeight="1">
      <c r="A532" s="190"/>
      <c r="B532" s="190"/>
      <c r="C532" s="190"/>
      <c r="D532" s="190"/>
      <c r="E532" s="190"/>
      <c r="F532" s="190"/>
      <c r="G532" s="190"/>
      <c r="H532" s="190"/>
      <c r="I532" s="190"/>
      <c r="J532" s="190"/>
      <c r="K532" s="190"/>
      <c r="L532" s="190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 spans="1:26" ht="12.75" customHeight="1">
      <c r="A533" s="190"/>
      <c r="B533" s="190"/>
      <c r="C533" s="190"/>
      <c r="D533" s="190"/>
      <c r="E533" s="190"/>
      <c r="F533" s="190"/>
      <c r="G533" s="190"/>
      <c r="H533" s="190"/>
      <c r="I533" s="190"/>
      <c r="J533" s="190"/>
      <c r="K533" s="190"/>
      <c r="L533" s="190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 spans="1:26" ht="12.75" customHeight="1">
      <c r="A534" s="190"/>
      <c r="B534" s="190"/>
      <c r="C534" s="190"/>
      <c r="D534" s="190"/>
      <c r="E534" s="190"/>
      <c r="F534" s="190"/>
      <c r="G534" s="190"/>
      <c r="H534" s="190"/>
      <c r="I534" s="190"/>
      <c r="J534" s="190"/>
      <c r="K534" s="190"/>
      <c r="L534" s="190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 spans="1:26" ht="12.75" customHeight="1">
      <c r="A535" s="190"/>
      <c r="B535" s="190"/>
      <c r="C535" s="190"/>
      <c r="D535" s="190"/>
      <c r="E535" s="190"/>
      <c r="F535" s="190"/>
      <c r="G535" s="190"/>
      <c r="H535" s="190"/>
      <c r="I535" s="190"/>
      <c r="J535" s="190"/>
      <c r="K535" s="190"/>
      <c r="L535" s="190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 spans="1:26" ht="12.75" customHeight="1">
      <c r="A536" s="190"/>
      <c r="B536" s="190"/>
      <c r="C536" s="190"/>
      <c r="D536" s="190"/>
      <c r="E536" s="190"/>
      <c r="F536" s="190"/>
      <c r="G536" s="190"/>
      <c r="H536" s="190"/>
      <c r="I536" s="190"/>
      <c r="J536" s="190"/>
      <c r="K536" s="190"/>
      <c r="L536" s="190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 spans="1:26" ht="12.75" customHeight="1">
      <c r="A537" s="190"/>
      <c r="B537" s="190"/>
      <c r="C537" s="190"/>
      <c r="D537" s="190"/>
      <c r="E537" s="190"/>
      <c r="F537" s="190"/>
      <c r="G537" s="190"/>
      <c r="H537" s="190"/>
      <c r="I537" s="190"/>
      <c r="J537" s="190"/>
      <c r="K537" s="190"/>
      <c r="L537" s="190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 spans="1:26" ht="12.75" customHeight="1">
      <c r="A538" s="190"/>
      <c r="B538" s="190"/>
      <c r="C538" s="190"/>
      <c r="D538" s="190"/>
      <c r="E538" s="190"/>
      <c r="F538" s="190"/>
      <c r="G538" s="190"/>
      <c r="H538" s="190"/>
      <c r="I538" s="190"/>
      <c r="J538" s="190"/>
      <c r="K538" s="190"/>
      <c r="L538" s="190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 spans="1:26" ht="12.75" customHeight="1">
      <c r="A539" s="190"/>
      <c r="B539" s="190"/>
      <c r="C539" s="190"/>
      <c r="D539" s="190"/>
      <c r="E539" s="190"/>
      <c r="F539" s="190"/>
      <c r="G539" s="190"/>
      <c r="H539" s="190"/>
      <c r="I539" s="190"/>
      <c r="J539" s="190"/>
      <c r="K539" s="190"/>
      <c r="L539" s="190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 spans="1:26" ht="12.75" customHeight="1">
      <c r="A540" s="190"/>
      <c r="B540" s="190"/>
      <c r="C540" s="190"/>
      <c r="D540" s="190"/>
      <c r="E540" s="190"/>
      <c r="F540" s="190"/>
      <c r="G540" s="190"/>
      <c r="H540" s="190"/>
      <c r="I540" s="190"/>
      <c r="J540" s="190"/>
      <c r="K540" s="190"/>
      <c r="L540" s="190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 spans="1:26" ht="12.75" customHeight="1">
      <c r="A541" s="190"/>
      <c r="B541" s="190"/>
      <c r="C541" s="190"/>
      <c r="D541" s="190"/>
      <c r="E541" s="190"/>
      <c r="F541" s="190"/>
      <c r="G541" s="190"/>
      <c r="H541" s="190"/>
      <c r="I541" s="190"/>
      <c r="J541" s="190"/>
      <c r="K541" s="190"/>
      <c r="L541" s="190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 spans="1:26" ht="12.75" customHeight="1">
      <c r="A542" s="190"/>
      <c r="B542" s="190"/>
      <c r="C542" s="190"/>
      <c r="D542" s="190"/>
      <c r="E542" s="190"/>
      <c r="F542" s="190"/>
      <c r="G542" s="190"/>
      <c r="H542" s="190"/>
      <c r="I542" s="190"/>
      <c r="J542" s="190"/>
      <c r="K542" s="190"/>
      <c r="L542" s="190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 spans="1:26" ht="12.75" customHeight="1">
      <c r="A543" s="190"/>
      <c r="B543" s="190"/>
      <c r="C543" s="190"/>
      <c r="D543" s="190"/>
      <c r="E543" s="190"/>
      <c r="F543" s="190"/>
      <c r="G543" s="190"/>
      <c r="H543" s="190"/>
      <c r="I543" s="190"/>
      <c r="J543" s="190"/>
      <c r="K543" s="190"/>
      <c r="L543" s="190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 spans="1:26" ht="12.75" customHeight="1">
      <c r="A544" s="190"/>
      <c r="B544" s="190"/>
      <c r="C544" s="190"/>
      <c r="D544" s="190"/>
      <c r="E544" s="190"/>
      <c r="F544" s="190"/>
      <c r="G544" s="190"/>
      <c r="H544" s="190"/>
      <c r="I544" s="190"/>
      <c r="J544" s="190"/>
      <c r="K544" s="190"/>
      <c r="L544" s="190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 spans="1:26" ht="12.75" customHeight="1">
      <c r="A545" s="190"/>
      <c r="B545" s="190"/>
      <c r="C545" s="190"/>
      <c r="D545" s="190"/>
      <c r="E545" s="190"/>
      <c r="F545" s="190"/>
      <c r="G545" s="190"/>
      <c r="H545" s="190"/>
      <c r="I545" s="190"/>
      <c r="J545" s="190"/>
      <c r="K545" s="190"/>
      <c r="L545" s="190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 spans="1:26" ht="12.75" customHeight="1">
      <c r="A546" s="190"/>
      <c r="B546" s="190"/>
      <c r="C546" s="190"/>
      <c r="D546" s="190"/>
      <c r="E546" s="190"/>
      <c r="F546" s="190"/>
      <c r="G546" s="190"/>
      <c r="H546" s="190"/>
      <c r="I546" s="190"/>
      <c r="J546" s="190"/>
      <c r="K546" s="190"/>
      <c r="L546" s="190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 spans="1:26" ht="12.75" customHeight="1">
      <c r="A547" s="190"/>
      <c r="B547" s="190"/>
      <c r="C547" s="190"/>
      <c r="D547" s="190"/>
      <c r="E547" s="190"/>
      <c r="F547" s="190"/>
      <c r="G547" s="190"/>
      <c r="H547" s="190"/>
      <c r="I547" s="190"/>
      <c r="J547" s="190"/>
      <c r="K547" s="190"/>
      <c r="L547" s="190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 spans="1:26" ht="12.75" customHeight="1">
      <c r="A548" s="190"/>
      <c r="B548" s="190"/>
      <c r="C548" s="190"/>
      <c r="D548" s="190"/>
      <c r="E548" s="190"/>
      <c r="F548" s="190"/>
      <c r="G548" s="190"/>
      <c r="H548" s="190"/>
      <c r="I548" s="190"/>
      <c r="J548" s="190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 spans="1:26" ht="12.75" customHeight="1">
      <c r="A549" s="190"/>
      <c r="B549" s="190"/>
      <c r="C549" s="190"/>
      <c r="D549" s="190"/>
      <c r="E549" s="190"/>
      <c r="F549" s="190"/>
      <c r="G549" s="190"/>
      <c r="H549" s="190"/>
      <c r="I549" s="190"/>
      <c r="J549" s="190"/>
      <c r="K549" s="190"/>
      <c r="L549" s="190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 spans="1:26" ht="12.75" customHeight="1">
      <c r="A550" s="190"/>
      <c r="B550" s="190"/>
      <c r="C550" s="190"/>
      <c r="D550" s="190"/>
      <c r="E550" s="190"/>
      <c r="F550" s="190"/>
      <c r="G550" s="190"/>
      <c r="H550" s="190"/>
      <c r="I550" s="190"/>
      <c r="J550" s="190"/>
      <c r="K550" s="190"/>
      <c r="L550" s="190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 spans="1:26" ht="12.75" customHeight="1">
      <c r="A551" s="190"/>
      <c r="B551" s="190"/>
      <c r="C551" s="190"/>
      <c r="D551" s="190"/>
      <c r="E551" s="190"/>
      <c r="F551" s="190"/>
      <c r="G551" s="190"/>
      <c r="H551" s="190"/>
      <c r="I551" s="190"/>
      <c r="J551" s="190"/>
      <c r="K551" s="190"/>
      <c r="L551" s="190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 spans="1:26" ht="12.75" customHeight="1">
      <c r="A552" s="190"/>
      <c r="B552" s="190"/>
      <c r="C552" s="190"/>
      <c r="D552" s="190"/>
      <c r="E552" s="190"/>
      <c r="F552" s="190"/>
      <c r="G552" s="190"/>
      <c r="H552" s="190"/>
      <c r="I552" s="190"/>
      <c r="J552" s="190"/>
      <c r="K552" s="190"/>
      <c r="L552" s="190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 spans="1:26" ht="12.75" customHeight="1">
      <c r="A553" s="190"/>
      <c r="B553" s="190"/>
      <c r="C553" s="190"/>
      <c r="D553" s="190"/>
      <c r="E553" s="190"/>
      <c r="F553" s="190"/>
      <c r="G553" s="190"/>
      <c r="H553" s="190"/>
      <c r="I553" s="190"/>
      <c r="J553" s="190"/>
      <c r="K553" s="190"/>
      <c r="L553" s="190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 spans="1:26" ht="12.75" customHeight="1">
      <c r="A554" s="190"/>
      <c r="B554" s="190"/>
      <c r="C554" s="190"/>
      <c r="D554" s="190"/>
      <c r="E554" s="190"/>
      <c r="F554" s="190"/>
      <c r="G554" s="190"/>
      <c r="H554" s="190"/>
      <c r="I554" s="190"/>
      <c r="J554" s="190"/>
      <c r="K554" s="190"/>
      <c r="L554" s="190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 spans="1:26" ht="12.75" customHeight="1">
      <c r="A555" s="190"/>
      <c r="B555" s="190"/>
      <c r="C555" s="190"/>
      <c r="D555" s="190"/>
      <c r="E555" s="190"/>
      <c r="F555" s="190"/>
      <c r="G555" s="190"/>
      <c r="H555" s="190"/>
      <c r="I555" s="190"/>
      <c r="J555" s="190"/>
      <c r="K555" s="190"/>
      <c r="L555" s="190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 spans="1:26" ht="12.75" customHeight="1">
      <c r="A556" s="190"/>
      <c r="B556" s="190"/>
      <c r="C556" s="190"/>
      <c r="D556" s="190"/>
      <c r="E556" s="190"/>
      <c r="F556" s="190"/>
      <c r="G556" s="190"/>
      <c r="H556" s="190"/>
      <c r="I556" s="190"/>
      <c r="J556" s="190"/>
      <c r="K556" s="190"/>
      <c r="L556" s="190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 spans="1:26" ht="12.75" customHeight="1">
      <c r="A557" s="190"/>
      <c r="B557" s="190"/>
      <c r="C557" s="190"/>
      <c r="D557" s="190"/>
      <c r="E557" s="190"/>
      <c r="F557" s="190"/>
      <c r="G557" s="190"/>
      <c r="H557" s="190"/>
      <c r="I557" s="190"/>
      <c r="J557" s="190"/>
      <c r="K557" s="190"/>
      <c r="L557" s="190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 spans="1:26" ht="12.75" customHeight="1">
      <c r="A558" s="190"/>
      <c r="B558" s="190"/>
      <c r="C558" s="190"/>
      <c r="D558" s="190"/>
      <c r="E558" s="190"/>
      <c r="F558" s="190"/>
      <c r="G558" s="190"/>
      <c r="H558" s="190"/>
      <c r="I558" s="190"/>
      <c r="J558" s="190"/>
      <c r="K558" s="190"/>
      <c r="L558" s="190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 spans="1:26" ht="12.75" customHeight="1">
      <c r="A559" s="190"/>
      <c r="B559" s="190"/>
      <c r="C559" s="190"/>
      <c r="D559" s="190"/>
      <c r="E559" s="190"/>
      <c r="F559" s="190"/>
      <c r="G559" s="190"/>
      <c r="H559" s="190"/>
      <c r="I559" s="190"/>
      <c r="J559" s="190"/>
      <c r="K559" s="190"/>
      <c r="L559" s="190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 spans="1:26" ht="12.75" customHeight="1">
      <c r="A560" s="190"/>
      <c r="B560" s="190"/>
      <c r="C560" s="190"/>
      <c r="D560" s="190"/>
      <c r="E560" s="190"/>
      <c r="F560" s="190"/>
      <c r="G560" s="190"/>
      <c r="H560" s="190"/>
      <c r="I560" s="190"/>
      <c r="J560" s="190"/>
      <c r="K560" s="190"/>
      <c r="L560" s="190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 spans="1:26" ht="12.75" customHeight="1">
      <c r="A561" s="190"/>
      <c r="B561" s="190"/>
      <c r="C561" s="190"/>
      <c r="D561" s="190"/>
      <c r="E561" s="190"/>
      <c r="F561" s="190"/>
      <c r="G561" s="190"/>
      <c r="H561" s="190"/>
      <c r="I561" s="190"/>
      <c r="J561" s="190"/>
      <c r="K561" s="190"/>
      <c r="L561" s="190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 spans="1:26" ht="12.75" customHeight="1">
      <c r="A562" s="190"/>
      <c r="B562" s="190"/>
      <c r="C562" s="190"/>
      <c r="D562" s="190"/>
      <c r="E562" s="190"/>
      <c r="F562" s="190"/>
      <c r="G562" s="190"/>
      <c r="H562" s="190"/>
      <c r="I562" s="190"/>
      <c r="J562" s="190"/>
      <c r="K562" s="190"/>
      <c r="L562" s="190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 spans="1:26" ht="12.75" customHeight="1">
      <c r="A563" s="190"/>
      <c r="B563" s="190"/>
      <c r="C563" s="190"/>
      <c r="D563" s="190"/>
      <c r="E563" s="190"/>
      <c r="F563" s="190"/>
      <c r="G563" s="190"/>
      <c r="H563" s="190"/>
      <c r="I563" s="190"/>
      <c r="J563" s="190"/>
      <c r="K563" s="190"/>
      <c r="L563" s="190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 spans="1:26" ht="12.75" customHeight="1">
      <c r="A564" s="190"/>
      <c r="B564" s="190"/>
      <c r="C564" s="190"/>
      <c r="D564" s="190"/>
      <c r="E564" s="190"/>
      <c r="F564" s="190"/>
      <c r="G564" s="190"/>
      <c r="H564" s="190"/>
      <c r="I564" s="190"/>
      <c r="J564" s="190"/>
      <c r="K564" s="190"/>
      <c r="L564" s="190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 spans="1:26" ht="12.75" customHeight="1">
      <c r="A565" s="190"/>
      <c r="B565" s="190"/>
      <c r="C565" s="190"/>
      <c r="D565" s="190"/>
      <c r="E565" s="190"/>
      <c r="F565" s="190"/>
      <c r="G565" s="190"/>
      <c r="H565" s="190"/>
      <c r="I565" s="190"/>
      <c r="J565" s="190"/>
      <c r="K565" s="190"/>
      <c r="L565" s="190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 spans="1:26" ht="12.75" customHeight="1">
      <c r="A566" s="190"/>
      <c r="B566" s="190"/>
      <c r="C566" s="190"/>
      <c r="D566" s="190"/>
      <c r="E566" s="190"/>
      <c r="F566" s="190"/>
      <c r="G566" s="190"/>
      <c r="H566" s="190"/>
      <c r="I566" s="190"/>
      <c r="J566" s="190"/>
      <c r="K566" s="190"/>
      <c r="L566" s="190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 spans="1:26" ht="12.75" customHeight="1">
      <c r="A567" s="190"/>
      <c r="B567" s="190"/>
      <c r="C567" s="190"/>
      <c r="D567" s="190"/>
      <c r="E567" s="190"/>
      <c r="F567" s="190"/>
      <c r="G567" s="190"/>
      <c r="H567" s="190"/>
      <c r="I567" s="190"/>
      <c r="J567" s="190"/>
      <c r="K567" s="190"/>
      <c r="L567" s="190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 spans="1:26" ht="12.75" customHeight="1">
      <c r="A568" s="190"/>
      <c r="B568" s="190"/>
      <c r="C568" s="190"/>
      <c r="D568" s="190"/>
      <c r="E568" s="190"/>
      <c r="F568" s="190"/>
      <c r="G568" s="190"/>
      <c r="H568" s="190"/>
      <c r="I568" s="190"/>
      <c r="J568" s="190"/>
      <c r="K568" s="190"/>
      <c r="L568" s="190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 spans="1:26" ht="12.75" customHeight="1">
      <c r="A569" s="190"/>
      <c r="B569" s="190"/>
      <c r="C569" s="190"/>
      <c r="D569" s="190"/>
      <c r="E569" s="190"/>
      <c r="F569" s="190"/>
      <c r="G569" s="190"/>
      <c r="H569" s="190"/>
      <c r="I569" s="190"/>
      <c r="J569" s="190"/>
      <c r="K569" s="190"/>
      <c r="L569" s="190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 spans="1:26" ht="12.75" customHeight="1">
      <c r="A570" s="190"/>
      <c r="B570" s="190"/>
      <c r="C570" s="190"/>
      <c r="D570" s="190"/>
      <c r="E570" s="190"/>
      <c r="F570" s="190"/>
      <c r="G570" s="190"/>
      <c r="H570" s="190"/>
      <c r="I570" s="190"/>
      <c r="J570" s="190"/>
      <c r="K570" s="190"/>
      <c r="L570" s="190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 spans="1:26" ht="12.75" customHeight="1">
      <c r="A571" s="190"/>
      <c r="B571" s="190"/>
      <c r="C571" s="190"/>
      <c r="D571" s="190"/>
      <c r="E571" s="190"/>
      <c r="F571" s="190"/>
      <c r="G571" s="190"/>
      <c r="H571" s="190"/>
      <c r="I571" s="190"/>
      <c r="J571" s="190"/>
      <c r="K571" s="190"/>
      <c r="L571" s="190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 spans="1:26" ht="12.75" customHeight="1">
      <c r="A572" s="190"/>
      <c r="B572" s="190"/>
      <c r="C572" s="190"/>
      <c r="D572" s="190"/>
      <c r="E572" s="190"/>
      <c r="F572" s="190"/>
      <c r="G572" s="190"/>
      <c r="H572" s="190"/>
      <c r="I572" s="190"/>
      <c r="J572" s="190"/>
      <c r="K572" s="190"/>
      <c r="L572" s="190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 spans="1:26" ht="12.75" customHeight="1">
      <c r="A573" s="190"/>
      <c r="B573" s="190"/>
      <c r="C573" s="190"/>
      <c r="D573" s="190"/>
      <c r="E573" s="190"/>
      <c r="F573" s="190"/>
      <c r="G573" s="190"/>
      <c r="H573" s="190"/>
      <c r="I573" s="190"/>
      <c r="J573" s="190"/>
      <c r="K573" s="190"/>
      <c r="L573" s="190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 spans="1:26" ht="12.75" customHeight="1">
      <c r="A574" s="190"/>
      <c r="B574" s="190"/>
      <c r="C574" s="190"/>
      <c r="D574" s="190"/>
      <c r="E574" s="190"/>
      <c r="F574" s="190"/>
      <c r="G574" s="190"/>
      <c r="H574" s="190"/>
      <c r="I574" s="190"/>
      <c r="J574" s="190"/>
      <c r="K574" s="190"/>
      <c r="L574" s="190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 spans="1:26" ht="12.75" customHeight="1">
      <c r="A575" s="190"/>
      <c r="B575" s="190"/>
      <c r="C575" s="190"/>
      <c r="D575" s="190"/>
      <c r="E575" s="190"/>
      <c r="F575" s="190"/>
      <c r="G575" s="190"/>
      <c r="H575" s="190"/>
      <c r="I575" s="190"/>
      <c r="J575" s="190"/>
      <c r="K575" s="190"/>
      <c r="L575" s="190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 spans="1:26" ht="12.75" customHeight="1">
      <c r="A576" s="190"/>
      <c r="B576" s="190"/>
      <c r="C576" s="190"/>
      <c r="D576" s="190"/>
      <c r="E576" s="190"/>
      <c r="F576" s="190"/>
      <c r="G576" s="190"/>
      <c r="H576" s="190"/>
      <c r="I576" s="190"/>
      <c r="J576" s="190"/>
      <c r="K576" s="190"/>
      <c r="L576" s="190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 spans="1:26" ht="12.75" customHeight="1">
      <c r="A577" s="190"/>
      <c r="B577" s="190"/>
      <c r="C577" s="190"/>
      <c r="D577" s="190"/>
      <c r="E577" s="190"/>
      <c r="F577" s="190"/>
      <c r="G577" s="190"/>
      <c r="H577" s="190"/>
      <c r="I577" s="190"/>
      <c r="J577" s="190"/>
      <c r="K577" s="190"/>
      <c r="L577" s="190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 spans="1:26" ht="12.75" customHeight="1">
      <c r="A578" s="190"/>
      <c r="B578" s="190"/>
      <c r="C578" s="190"/>
      <c r="D578" s="190"/>
      <c r="E578" s="190"/>
      <c r="F578" s="190"/>
      <c r="G578" s="190"/>
      <c r="H578" s="190"/>
      <c r="I578" s="190"/>
      <c r="J578" s="190"/>
      <c r="K578" s="190"/>
      <c r="L578" s="190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 spans="1:26" ht="12.75" customHeight="1">
      <c r="A579" s="190"/>
      <c r="B579" s="190"/>
      <c r="C579" s="190"/>
      <c r="D579" s="190"/>
      <c r="E579" s="190"/>
      <c r="F579" s="190"/>
      <c r="G579" s="190"/>
      <c r="H579" s="190"/>
      <c r="I579" s="190"/>
      <c r="J579" s="190"/>
      <c r="K579" s="190"/>
      <c r="L579" s="190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 spans="1:26" ht="12.75" customHeight="1">
      <c r="A580" s="190"/>
      <c r="B580" s="190"/>
      <c r="C580" s="190"/>
      <c r="D580" s="190"/>
      <c r="E580" s="190"/>
      <c r="F580" s="190"/>
      <c r="G580" s="190"/>
      <c r="H580" s="190"/>
      <c r="I580" s="190"/>
      <c r="J580" s="190"/>
      <c r="K580" s="190"/>
      <c r="L580" s="190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 spans="1:26" ht="12.75" customHeight="1">
      <c r="A581" s="190"/>
      <c r="B581" s="190"/>
      <c r="C581" s="190"/>
      <c r="D581" s="190"/>
      <c r="E581" s="190"/>
      <c r="F581" s="190"/>
      <c r="G581" s="190"/>
      <c r="H581" s="190"/>
      <c r="I581" s="190"/>
      <c r="J581" s="190"/>
      <c r="K581" s="190"/>
      <c r="L581" s="190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 spans="1:26" ht="12.75" customHeight="1">
      <c r="A582" s="190"/>
      <c r="B582" s="190"/>
      <c r="C582" s="190"/>
      <c r="D582" s="190"/>
      <c r="E582" s="190"/>
      <c r="F582" s="190"/>
      <c r="G582" s="190"/>
      <c r="H582" s="190"/>
      <c r="I582" s="190"/>
      <c r="J582" s="190"/>
      <c r="K582" s="190"/>
      <c r="L582" s="190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 spans="1:26" ht="12.75" customHeight="1">
      <c r="A583" s="190"/>
      <c r="B583" s="190"/>
      <c r="C583" s="190"/>
      <c r="D583" s="190"/>
      <c r="E583" s="190"/>
      <c r="F583" s="190"/>
      <c r="G583" s="190"/>
      <c r="H583" s="190"/>
      <c r="I583" s="190"/>
      <c r="J583" s="190"/>
      <c r="K583" s="190"/>
      <c r="L583" s="190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 spans="1:26" ht="12.75" customHeight="1">
      <c r="A584" s="190"/>
      <c r="B584" s="190"/>
      <c r="C584" s="190"/>
      <c r="D584" s="190"/>
      <c r="E584" s="190"/>
      <c r="F584" s="190"/>
      <c r="G584" s="190"/>
      <c r="H584" s="190"/>
      <c r="I584" s="190"/>
      <c r="J584" s="190"/>
      <c r="K584" s="190"/>
      <c r="L584" s="190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 spans="1:26" ht="12.75" customHeight="1">
      <c r="A585" s="190"/>
      <c r="B585" s="190"/>
      <c r="C585" s="190"/>
      <c r="D585" s="190"/>
      <c r="E585" s="190"/>
      <c r="F585" s="190"/>
      <c r="G585" s="190"/>
      <c r="H585" s="190"/>
      <c r="I585" s="190"/>
      <c r="J585" s="190"/>
      <c r="K585" s="190"/>
      <c r="L585" s="190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 spans="1:26" ht="12.75" customHeight="1">
      <c r="A586" s="190"/>
      <c r="B586" s="190"/>
      <c r="C586" s="190"/>
      <c r="D586" s="190"/>
      <c r="E586" s="190"/>
      <c r="F586" s="190"/>
      <c r="G586" s="190"/>
      <c r="H586" s="190"/>
      <c r="I586" s="190"/>
      <c r="J586" s="190"/>
      <c r="K586" s="190"/>
      <c r="L586" s="190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 spans="1:26" ht="12.75" customHeight="1">
      <c r="A587" s="190"/>
      <c r="B587" s="190"/>
      <c r="C587" s="190"/>
      <c r="D587" s="190"/>
      <c r="E587" s="190"/>
      <c r="F587" s="190"/>
      <c r="G587" s="190"/>
      <c r="H587" s="190"/>
      <c r="I587" s="190"/>
      <c r="J587" s="190"/>
      <c r="K587" s="190"/>
      <c r="L587" s="190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 spans="1:26" ht="12.75" customHeight="1">
      <c r="A588" s="190"/>
      <c r="B588" s="190"/>
      <c r="C588" s="190"/>
      <c r="D588" s="190"/>
      <c r="E588" s="190"/>
      <c r="F588" s="190"/>
      <c r="G588" s="190"/>
      <c r="H588" s="190"/>
      <c r="I588" s="190"/>
      <c r="J588" s="190"/>
      <c r="K588" s="190"/>
      <c r="L588" s="190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 spans="1:26" ht="12.75" customHeight="1">
      <c r="A589" s="190"/>
      <c r="B589" s="190"/>
      <c r="C589" s="190"/>
      <c r="D589" s="190"/>
      <c r="E589" s="190"/>
      <c r="F589" s="190"/>
      <c r="G589" s="190"/>
      <c r="H589" s="190"/>
      <c r="I589" s="190"/>
      <c r="J589" s="190"/>
      <c r="K589" s="190"/>
      <c r="L589" s="190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 spans="1:26" ht="12.75" customHeight="1">
      <c r="A590" s="190"/>
      <c r="B590" s="190"/>
      <c r="C590" s="190"/>
      <c r="D590" s="190"/>
      <c r="E590" s="190"/>
      <c r="F590" s="190"/>
      <c r="G590" s="190"/>
      <c r="H590" s="190"/>
      <c r="I590" s="190"/>
      <c r="J590" s="190"/>
      <c r="K590" s="190"/>
      <c r="L590" s="190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 spans="1:26" ht="12.75" customHeight="1">
      <c r="A591" s="190"/>
      <c r="B591" s="190"/>
      <c r="C591" s="190"/>
      <c r="D591" s="190"/>
      <c r="E591" s="190"/>
      <c r="F591" s="190"/>
      <c r="G591" s="190"/>
      <c r="H591" s="190"/>
      <c r="I591" s="190"/>
      <c r="J591" s="190"/>
      <c r="K591" s="190"/>
      <c r="L591" s="190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 spans="1:26" ht="12.75" customHeight="1">
      <c r="A592" s="190"/>
      <c r="B592" s="190"/>
      <c r="C592" s="190"/>
      <c r="D592" s="190"/>
      <c r="E592" s="190"/>
      <c r="F592" s="190"/>
      <c r="G592" s="190"/>
      <c r="H592" s="190"/>
      <c r="I592" s="190"/>
      <c r="J592" s="190"/>
      <c r="K592" s="190"/>
      <c r="L592" s="190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 spans="1:26" ht="12.75" customHeight="1">
      <c r="A593" s="190"/>
      <c r="B593" s="190"/>
      <c r="C593" s="190"/>
      <c r="D593" s="190"/>
      <c r="E593" s="190"/>
      <c r="F593" s="190"/>
      <c r="G593" s="190"/>
      <c r="H593" s="190"/>
      <c r="I593" s="190"/>
      <c r="J593" s="190"/>
      <c r="K593" s="190"/>
      <c r="L593" s="190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 spans="1:26" ht="12.75" customHeight="1">
      <c r="A594" s="190"/>
      <c r="B594" s="190"/>
      <c r="C594" s="190"/>
      <c r="D594" s="190"/>
      <c r="E594" s="190"/>
      <c r="F594" s="190"/>
      <c r="G594" s="190"/>
      <c r="H594" s="190"/>
      <c r="I594" s="190"/>
      <c r="J594" s="190"/>
      <c r="K594" s="190"/>
      <c r="L594" s="190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 spans="1:26" ht="12.75" customHeight="1">
      <c r="A595" s="190"/>
      <c r="B595" s="190"/>
      <c r="C595" s="190"/>
      <c r="D595" s="190"/>
      <c r="E595" s="190"/>
      <c r="F595" s="190"/>
      <c r="G595" s="190"/>
      <c r="H595" s="190"/>
      <c r="I595" s="190"/>
      <c r="J595" s="190"/>
      <c r="K595" s="190"/>
      <c r="L595" s="190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 spans="1:26" ht="12.75" customHeight="1">
      <c r="A596" s="190"/>
      <c r="B596" s="190"/>
      <c r="C596" s="190"/>
      <c r="D596" s="190"/>
      <c r="E596" s="190"/>
      <c r="F596" s="190"/>
      <c r="G596" s="190"/>
      <c r="H596" s="190"/>
      <c r="I596" s="190"/>
      <c r="J596" s="190"/>
      <c r="K596" s="190"/>
      <c r="L596" s="190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 spans="1:26" ht="12.75" customHeight="1">
      <c r="A597" s="190"/>
      <c r="B597" s="190"/>
      <c r="C597" s="190"/>
      <c r="D597" s="190"/>
      <c r="E597" s="190"/>
      <c r="F597" s="190"/>
      <c r="G597" s="190"/>
      <c r="H597" s="190"/>
      <c r="I597" s="190"/>
      <c r="J597" s="190"/>
      <c r="K597" s="190"/>
      <c r="L597" s="190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 spans="1:26" ht="12.75" customHeight="1">
      <c r="A598" s="190"/>
      <c r="B598" s="190"/>
      <c r="C598" s="190"/>
      <c r="D598" s="190"/>
      <c r="E598" s="190"/>
      <c r="F598" s="190"/>
      <c r="G598" s="190"/>
      <c r="H598" s="190"/>
      <c r="I598" s="190"/>
      <c r="J598" s="190"/>
      <c r="K598" s="190"/>
      <c r="L598" s="190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 spans="1:26" ht="12.75" customHeight="1">
      <c r="A599" s="190"/>
      <c r="B599" s="190"/>
      <c r="C599" s="190"/>
      <c r="D599" s="190"/>
      <c r="E599" s="190"/>
      <c r="F599" s="190"/>
      <c r="G599" s="190"/>
      <c r="H599" s="190"/>
      <c r="I599" s="190"/>
      <c r="J599" s="190"/>
      <c r="K599" s="190"/>
      <c r="L599" s="190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 spans="1:26" ht="12.75" customHeight="1">
      <c r="A600" s="190"/>
      <c r="B600" s="190"/>
      <c r="C600" s="190"/>
      <c r="D600" s="190"/>
      <c r="E600" s="190"/>
      <c r="F600" s="190"/>
      <c r="G600" s="190"/>
      <c r="H600" s="190"/>
      <c r="I600" s="190"/>
      <c r="J600" s="190"/>
      <c r="K600" s="190"/>
      <c r="L600" s="190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 spans="1:26" ht="12.75" customHeight="1">
      <c r="A601" s="190"/>
      <c r="B601" s="190"/>
      <c r="C601" s="190"/>
      <c r="D601" s="190"/>
      <c r="E601" s="190"/>
      <c r="F601" s="190"/>
      <c r="G601" s="190"/>
      <c r="H601" s="190"/>
      <c r="I601" s="190"/>
      <c r="J601" s="190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 spans="1:26" ht="12.75" customHeight="1">
      <c r="A602" s="190"/>
      <c r="B602" s="190"/>
      <c r="C602" s="190"/>
      <c r="D602" s="190"/>
      <c r="E602" s="190"/>
      <c r="F602" s="190"/>
      <c r="G602" s="190"/>
      <c r="H602" s="190"/>
      <c r="I602" s="190"/>
      <c r="J602" s="190"/>
      <c r="K602" s="190"/>
      <c r="L602" s="190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 spans="1:26" ht="12.75" customHeight="1">
      <c r="A603" s="190"/>
      <c r="B603" s="190"/>
      <c r="C603" s="190"/>
      <c r="D603" s="190"/>
      <c r="E603" s="190"/>
      <c r="F603" s="190"/>
      <c r="G603" s="190"/>
      <c r="H603" s="190"/>
      <c r="I603" s="190"/>
      <c r="J603" s="190"/>
      <c r="K603" s="190"/>
      <c r="L603" s="190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 spans="1:26" ht="12.75" customHeight="1">
      <c r="A604" s="190"/>
      <c r="B604" s="190"/>
      <c r="C604" s="190"/>
      <c r="D604" s="190"/>
      <c r="E604" s="190"/>
      <c r="F604" s="190"/>
      <c r="G604" s="190"/>
      <c r="H604" s="190"/>
      <c r="I604" s="190"/>
      <c r="J604" s="190"/>
      <c r="K604" s="190"/>
      <c r="L604" s="190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 spans="1:26" ht="12.75" customHeight="1">
      <c r="A605" s="190"/>
      <c r="B605" s="190"/>
      <c r="C605" s="190"/>
      <c r="D605" s="190"/>
      <c r="E605" s="190"/>
      <c r="F605" s="190"/>
      <c r="G605" s="190"/>
      <c r="H605" s="190"/>
      <c r="I605" s="190"/>
      <c r="J605" s="190"/>
      <c r="K605" s="190"/>
      <c r="L605" s="190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 spans="1:26" ht="12.75" customHeight="1">
      <c r="A606" s="190"/>
      <c r="B606" s="190"/>
      <c r="C606" s="190"/>
      <c r="D606" s="190"/>
      <c r="E606" s="190"/>
      <c r="F606" s="190"/>
      <c r="G606" s="190"/>
      <c r="H606" s="190"/>
      <c r="I606" s="190"/>
      <c r="J606" s="190"/>
      <c r="K606" s="190"/>
      <c r="L606" s="190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 spans="1:26" ht="12.75" customHeight="1">
      <c r="A607" s="190"/>
      <c r="B607" s="190"/>
      <c r="C607" s="190"/>
      <c r="D607" s="190"/>
      <c r="E607" s="190"/>
      <c r="F607" s="190"/>
      <c r="G607" s="190"/>
      <c r="H607" s="190"/>
      <c r="I607" s="190"/>
      <c r="J607" s="190"/>
      <c r="K607" s="190"/>
      <c r="L607" s="190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 spans="1:26" ht="12.75" customHeight="1">
      <c r="A608" s="190"/>
      <c r="B608" s="190"/>
      <c r="C608" s="190"/>
      <c r="D608" s="190"/>
      <c r="E608" s="190"/>
      <c r="F608" s="190"/>
      <c r="G608" s="190"/>
      <c r="H608" s="190"/>
      <c r="I608" s="190"/>
      <c r="J608" s="190"/>
      <c r="K608" s="190"/>
      <c r="L608" s="190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 spans="1:26" ht="12.75" customHeight="1">
      <c r="A609" s="190"/>
      <c r="B609" s="190"/>
      <c r="C609" s="190"/>
      <c r="D609" s="190"/>
      <c r="E609" s="190"/>
      <c r="F609" s="190"/>
      <c r="G609" s="190"/>
      <c r="H609" s="190"/>
      <c r="I609" s="190"/>
      <c r="J609" s="190"/>
      <c r="K609" s="190"/>
      <c r="L609" s="190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 spans="1:26" ht="12.75" customHeight="1">
      <c r="A610" s="190"/>
      <c r="B610" s="190"/>
      <c r="C610" s="190"/>
      <c r="D610" s="190"/>
      <c r="E610" s="190"/>
      <c r="F610" s="190"/>
      <c r="G610" s="190"/>
      <c r="H610" s="190"/>
      <c r="I610" s="190"/>
      <c r="J610" s="190"/>
      <c r="K610" s="190"/>
      <c r="L610" s="190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 spans="1:26" ht="12.75" customHeight="1">
      <c r="A611" s="190"/>
      <c r="B611" s="190"/>
      <c r="C611" s="190"/>
      <c r="D611" s="190"/>
      <c r="E611" s="190"/>
      <c r="F611" s="190"/>
      <c r="G611" s="190"/>
      <c r="H611" s="190"/>
      <c r="I611" s="190"/>
      <c r="J611" s="190"/>
      <c r="K611" s="190"/>
      <c r="L611" s="190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 spans="1:26" ht="12.75" customHeight="1">
      <c r="A612" s="190"/>
      <c r="B612" s="190"/>
      <c r="C612" s="190"/>
      <c r="D612" s="190"/>
      <c r="E612" s="190"/>
      <c r="F612" s="190"/>
      <c r="G612" s="190"/>
      <c r="H612" s="190"/>
      <c r="I612" s="190"/>
      <c r="J612" s="190"/>
      <c r="K612" s="190"/>
      <c r="L612" s="190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 spans="1:26" ht="12.75" customHeight="1">
      <c r="A613" s="190"/>
      <c r="B613" s="190"/>
      <c r="C613" s="190"/>
      <c r="D613" s="190"/>
      <c r="E613" s="190"/>
      <c r="F613" s="190"/>
      <c r="G613" s="190"/>
      <c r="H613" s="190"/>
      <c r="I613" s="190"/>
      <c r="J613" s="190"/>
      <c r="K613" s="190"/>
      <c r="L613" s="190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 spans="1:26" ht="12.75" customHeight="1">
      <c r="A614" s="190"/>
      <c r="B614" s="190"/>
      <c r="C614" s="190"/>
      <c r="D614" s="190"/>
      <c r="E614" s="190"/>
      <c r="F614" s="190"/>
      <c r="G614" s="190"/>
      <c r="H614" s="190"/>
      <c r="I614" s="190"/>
      <c r="J614" s="190"/>
      <c r="K614" s="190"/>
      <c r="L614" s="190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 spans="1:26" ht="12.75" customHeight="1">
      <c r="A615" s="190"/>
      <c r="B615" s="190"/>
      <c r="C615" s="190"/>
      <c r="D615" s="190"/>
      <c r="E615" s="190"/>
      <c r="F615" s="190"/>
      <c r="G615" s="190"/>
      <c r="H615" s="190"/>
      <c r="I615" s="190"/>
      <c r="J615" s="190"/>
      <c r="K615" s="190"/>
      <c r="L615" s="190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 spans="1:26" ht="12.75" customHeight="1">
      <c r="A616" s="190"/>
      <c r="B616" s="190"/>
      <c r="C616" s="190"/>
      <c r="D616" s="190"/>
      <c r="E616" s="190"/>
      <c r="F616" s="190"/>
      <c r="G616" s="190"/>
      <c r="H616" s="190"/>
      <c r="I616" s="190"/>
      <c r="J616" s="190"/>
      <c r="K616" s="190"/>
      <c r="L616" s="190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 spans="1:26" ht="12.75" customHeight="1">
      <c r="A617" s="190"/>
      <c r="B617" s="190"/>
      <c r="C617" s="190"/>
      <c r="D617" s="190"/>
      <c r="E617" s="190"/>
      <c r="F617" s="190"/>
      <c r="G617" s="190"/>
      <c r="H617" s="190"/>
      <c r="I617" s="190"/>
      <c r="J617" s="190"/>
      <c r="K617" s="190"/>
      <c r="L617" s="190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 spans="1:26" ht="12.75" customHeight="1">
      <c r="A618" s="190"/>
      <c r="B618" s="190"/>
      <c r="C618" s="190"/>
      <c r="D618" s="190"/>
      <c r="E618" s="190"/>
      <c r="F618" s="190"/>
      <c r="G618" s="190"/>
      <c r="H618" s="190"/>
      <c r="I618" s="190"/>
      <c r="J618" s="190"/>
      <c r="K618" s="190"/>
      <c r="L618" s="190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 spans="1:26" ht="12.75" customHeight="1">
      <c r="A619" s="190"/>
      <c r="B619" s="190"/>
      <c r="C619" s="190"/>
      <c r="D619" s="190"/>
      <c r="E619" s="190"/>
      <c r="F619" s="190"/>
      <c r="G619" s="190"/>
      <c r="H619" s="190"/>
      <c r="I619" s="190"/>
      <c r="J619" s="190"/>
      <c r="K619" s="190"/>
      <c r="L619" s="190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 spans="1:26" ht="12.75" customHeight="1">
      <c r="A620" s="190"/>
      <c r="B620" s="190"/>
      <c r="C620" s="190"/>
      <c r="D620" s="190"/>
      <c r="E620" s="190"/>
      <c r="F620" s="190"/>
      <c r="G620" s="190"/>
      <c r="H620" s="190"/>
      <c r="I620" s="190"/>
      <c r="J620" s="190"/>
      <c r="K620" s="190"/>
      <c r="L620" s="190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 spans="1:26" ht="12.75" customHeight="1">
      <c r="A621" s="190"/>
      <c r="B621" s="190"/>
      <c r="C621" s="190"/>
      <c r="D621" s="190"/>
      <c r="E621" s="190"/>
      <c r="F621" s="190"/>
      <c r="G621" s="190"/>
      <c r="H621" s="190"/>
      <c r="I621" s="190"/>
      <c r="J621" s="190"/>
      <c r="K621" s="190"/>
      <c r="L621" s="190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 spans="1:26" ht="12.75" customHeight="1">
      <c r="A622" s="190"/>
      <c r="B622" s="190"/>
      <c r="C622" s="190"/>
      <c r="D622" s="190"/>
      <c r="E622" s="190"/>
      <c r="F622" s="190"/>
      <c r="G622" s="190"/>
      <c r="H622" s="190"/>
      <c r="I622" s="190"/>
      <c r="J622" s="190"/>
      <c r="K622" s="190"/>
      <c r="L622" s="190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 spans="1:26" ht="12.75" customHeight="1">
      <c r="A623" s="190"/>
      <c r="B623" s="190"/>
      <c r="C623" s="190"/>
      <c r="D623" s="190"/>
      <c r="E623" s="190"/>
      <c r="F623" s="190"/>
      <c r="G623" s="190"/>
      <c r="H623" s="190"/>
      <c r="I623" s="190"/>
      <c r="J623" s="190"/>
      <c r="K623" s="190"/>
      <c r="L623" s="190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 spans="1:26" ht="12.75" customHeight="1">
      <c r="A624" s="190"/>
      <c r="B624" s="190"/>
      <c r="C624" s="190"/>
      <c r="D624" s="190"/>
      <c r="E624" s="190"/>
      <c r="F624" s="190"/>
      <c r="G624" s="190"/>
      <c r="H624" s="190"/>
      <c r="I624" s="190"/>
      <c r="J624" s="190"/>
      <c r="K624" s="190"/>
      <c r="L624" s="190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 spans="1:26" ht="12.75" customHeight="1">
      <c r="A625" s="190"/>
      <c r="B625" s="190"/>
      <c r="C625" s="190"/>
      <c r="D625" s="190"/>
      <c r="E625" s="190"/>
      <c r="F625" s="190"/>
      <c r="G625" s="190"/>
      <c r="H625" s="190"/>
      <c r="I625" s="190"/>
      <c r="J625" s="190"/>
      <c r="K625" s="190"/>
      <c r="L625" s="190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 spans="1:26" ht="12.75" customHeight="1">
      <c r="A626" s="190"/>
      <c r="B626" s="190"/>
      <c r="C626" s="190"/>
      <c r="D626" s="190"/>
      <c r="E626" s="190"/>
      <c r="F626" s="190"/>
      <c r="G626" s="190"/>
      <c r="H626" s="190"/>
      <c r="I626" s="190"/>
      <c r="J626" s="190"/>
      <c r="K626" s="190"/>
      <c r="L626" s="190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 spans="1:26" ht="12.75" customHeight="1">
      <c r="A627" s="190"/>
      <c r="B627" s="190"/>
      <c r="C627" s="190"/>
      <c r="D627" s="190"/>
      <c r="E627" s="190"/>
      <c r="F627" s="190"/>
      <c r="G627" s="190"/>
      <c r="H627" s="190"/>
      <c r="I627" s="190"/>
      <c r="J627" s="190"/>
      <c r="K627" s="190"/>
      <c r="L627" s="190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 spans="1:26" ht="12.75" customHeight="1">
      <c r="A628" s="190"/>
      <c r="B628" s="190"/>
      <c r="C628" s="190"/>
      <c r="D628" s="190"/>
      <c r="E628" s="190"/>
      <c r="F628" s="190"/>
      <c r="G628" s="190"/>
      <c r="H628" s="190"/>
      <c r="I628" s="190"/>
      <c r="J628" s="190"/>
      <c r="K628" s="190"/>
      <c r="L628" s="190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 spans="1:26" ht="12.75" customHeight="1">
      <c r="A629" s="190"/>
      <c r="B629" s="190"/>
      <c r="C629" s="190"/>
      <c r="D629" s="190"/>
      <c r="E629" s="190"/>
      <c r="F629" s="190"/>
      <c r="G629" s="190"/>
      <c r="H629" s="190"/>
      <c r="I629" s="190"/>
      <c r="J629" s="190"/>
      <c r="K629" s="190"/>
      <c r="L629" s="190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 spans="1:26" ht="12.75" customHeight="1">
      <c r="A630" s="190"/>
      <c r="B630" s="190"/>
      <c r="C630" s="190"/>
      <c r="D630" s="190"/>
      <c r="E630" s="190"/>
      <c r="F630" s="190"/>
      <c r="G630" s="190"/>
      <c r="H630" s="190"/>
      <c r="I630" s="190"/>
      <c r="J630" s="190"/>
      <c r="K630" s="190"/>
      <c r="L630" s="190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 spans="1:26" ht="12.75" customHeight="1">
      <c r="A631" s="190"/>
      <c r="B631" s="190"/>
      <c r="C631" s="190"/>
      <c r="D631" s="190"/>
      <c r="E631" s="190"/>
      <c r="F631" s="190"/>
      <c r="G631" s="190"/>
      <c r="H631" s="190"/>
      <c r="I631" s="190"/>
      <c r="J631" s="190"/>
      <c r="K631" s="190"/>
      <c r="L631" s="190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 spans="1:26" ht="12.75" customHeight="1">
      <c r="A632" s="190"/>
      <c r="B632" s="190"/>
      <c r="C632" s="190"/>
      <c r="D632" s="190"/>
      <c r="E632" s="190"/>
      <c r="F632" s="190"/>
      <c r="G632" s="190"/>
      <c r="H632" s="190"/>
      <c r="I632" s="190"/>
      <c r="J632" s="190"/>
      <c r="K632" s="190"/>
      <c r="L632" s="190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 spans="1:26" ht="12.75" customHeight="1">
      <c r="A633" s="190"/>
      <c r="B633" s="190"/>
      <c r="C633" s="190"/>
      <c r="D633" s="190"/>
      <c r="E633" s="190"/>
      <c r="F633" s="190"/>
      <c r="G633" s="190"/>
      <c r="H633" s="190"/>
      <c r="I633" s="190"/>
      <c r="J633" s="190"/>
      <c r="K633" s="190"/>
      <c r="L633" s="190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 spans="1:26" ht="12.75" customHeight="1">
      <c r="A634" s="190"/>
      <c r="B634" s="190"/>
      <c r="C634" s="190"/>
      <c r="D634" s="190"/>
      <c r="E634" s="190"/>
      <c r="F634" s="190"/>
      <c r="G634" s="190"/>
      <c r="H634" s="190"/>
      <c r="I634" s="190"/>
      <c r="J634" s="190"/>
      <c r="K634" s="190"/>
      <c r="L634" s="190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 spans="1:26" ht="12.75" customHeight="1">
      <c r="A635" s="190"/>
      <c r="B635" s="190"/>
      <c r="C635" s="190"/>
      <c r="D635" s="190"/>
      <c r="E635" s="190"/>
      <c r="F635" s="190"/>
      <c r="G635" s="190"/>
      <c r="H635" s="190"/>
      <c r="I635" s="190"/>
      <c r="J635" s="190"/>
      <c r="K635" s="190"/>
      <c r="L635" s="190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 spans="1:26" ht="12.75" customHeight="1">
      <c r="A636" s="190"/>
      <c r="B636" s="190"/>
      <c r="C636" s="190"/>
      <c r="D636" s="190"/>
      <c r="E636" s="190"/>
      <c r="F636" s="190"/>
      <c r="G636" s="190"/>
      <c r="H636" s="190"/>
      <c r="I636" s="190"/>
      <c r="J636" s="190"/>
      <c r="K636" s="190"/>
      <c r="L636" s="190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 spans="1:26" ht="12.75" customHeight="1">
      <c r="A637" s="190"/>
      <c r="B637" s="190"/>
      <c r="C637" s="190"/>
      <c r="D637" s="190"/>
      <c r="E637" s="190"/>
      <c r="F637" s="190"/>
      <c r="G637" s="190"/>
      <c r="H637" s="190"/>
      <c r="I637" s="190"/>
      <c r="J637" s="190"/>
      <c r="K637" s="190"/>
      <c r="L637" s="190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 spans="1:26" ht="12.75" customHeight="1">
      <c r="A638" s="190"/>
      <c r="B638" s="190"/>
      <c r="C638" s="190"/>
      <c r="D638" s="190"/>
      <c r="E638" s="190"/>
      <c r="F638" s="190"/>
      <c r="G638" s="190"/>
      <c r="H638" s="190"/>
      <c r="I638" s="190"/>
      <c r="J638" s="190"/>
      <c r="K638" s="190"/>
      <c r="L638" s="190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 spans="1:26" ht="12.75" customHeight="1">
      <c r="A639" s="190"/>
      <c r="B639" s="190"/>
      <c r="C639" s="190"/>
      <c r="D639" s="190"/>
      <c r="E639" s="190"/>
      <c r="F639" s="190"/>
      <c r="G639" s="190"/>
      <c r="H639" s="190"/>
      <c r="I639" s="190"/>
      <c r="J639" s="190"/>
      <c r="K639" s="190"/>
      <c r="L639" s="190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 spans="1:26" ht="12.75" customHeight="1">
      <c r="A640" s="190"/>
      <c r="B640" s="190"/>
      <c r="C640" s="190"/>
      <c r="D640" s="190"/>
      <c r="E640" s="190"/>
      <c r="F640" s="190"/>
      <c r="G640" s="190"/>
      <c r="H640" s="190"/>
      <c r="I640" s="190"/>
      <c r="J640" s="190"/>
      <c r="K640" s="190"/>
      <c r="L640" s="190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 spans="1:26" ht="12.75" customHeight="1">
      <c r="A641" s="190"/>
      <c r="B641" s="190"/>
      <c r="C641" s="190"/>
      <c r="D641" s="190"/>
      <c r="E641" s="190"/>
      <c r="F641" s="190"/>
      <c r="G641" s="190"/>
      <c r="H641" s="190"/>
      <c r="I641" s="190"/>
      <c r="J641" s="190"/>
      <c r="K641" s="190"/>
      <c r="L641" s="190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 spans="1:26" ht="12.75" customHeight="1">
      <c r="A642" s="190"/>
      <c r="B642" s="190"/>
      <c r="C642" s="190"/>
      <c r="D642" s="190"/>
      <c r="E642" s="190"/>
      <c r="F642" s="190"/>
      <c r="G642" s="190"/>
      <c r="H642" s="190"/>
      <c r="I642" s="190"/>
      <c r="J642" s="190"/>
      <c r="K642" s="190"/>
      <c r="L642" s="190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 spans="1:26" ht="12.75" customHeight="1">
      <c r="A643" s="190"/>
      <c r="B643" s="190"/>
      <c r="C643" s="190"/>
      <c r="D643" s="190"/>
      <c r="E643" s="190"/>
      <c r="F643" s="190"/>
      <c r="G643" s="190"/>
      <c r="H643" s="190"/>
      <c r="I643" s="190"/>
      <c r="J643" s="190"/>
      <c r="K643" s="190"/>
      <c r="L643" s="190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 spans="1:26" ht="12.75" customHeight="1">
      <c r="A644" s="190"/>
      <c r="B644" s="190"/>
      <c r="C644" s="190"/>
      <c r="D644" s="190"/>
      <c r="E644" s="190"/>
      <c r="F644" s="190"/>
      <c r="G644" s="190"/>
      <c r="H644" s="190"/>
      <c r="I644" s="190"/>
      <c r="J644" s="190"/>
      <c r="K644" s="190"/>
      <c r="L644" s="190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 spans="1:26" ht="12.75" customHeight="1">
      <c r="A645" s="190"/>
      <c r="B645" s="190"/>
      <c r="C645" s="190"/>
      <c r="D645" s="190"/>
      <c r="E645" s="190"/>
      <c r="F645" s="190"/>
      <c r="G645" s="190"/>
      <c r="H645" s="190"/>
      <c r="I645" s="190"/>
      <c r="J645" s="190"/>
      <c r="K645" s="190"/>
      <c r="L645" s="190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 spans="1:26" ht="12.75" customHeight="1">
      <c r="A646" s="190"/>
      <c r="B646" s="190"/>
      <c r="C646" s="190"/>
      <c r="D646" s="190"/>
      <c r="E646" s="190"/>
      <c r="F646" s="190"/>
      <c r="G646" s="190"/>
      <c r="H646" s="190"/>
      <c r="I646" s="190"/>
      <c r="J646" s="190"/>
      <c r="K646" s="190"/>
      <c r="L646" s="190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 spans="1:26" ht="12.75" customHeight="1">
      <c r="A647" s="190"/>
      <c r="B647" s="190"/>
      <c r="C647" s="190"/>
      <c r="D647" s="190"/>
      <c r="E647" s="190"/>
      <c r="F647" s="190"/>
      <c r="G647" s="190"/>
      <c r="H647" s="190"/>
      <c r="I647" s="190"/>
      <c r="J647" s="190"/>
      <c r="K647" s="190"/>
      <c r="L647" s="190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 spans="1:26" ht="12.75" customHeight="1">
      <c r="A648" s="190"/>
      <c r="B648" s="190"/>
      <c r="C648" s="190"/>
      <c r="D648" s="190"/>
      <c r="E648" s="190"/>
      <c r="F648" s="190"/>
      <c r="G648" s="190"/>
      <c r="H648" s="190"/>
      <c r="I648" s="190"/>
      <c r="J648" s="190"/>
      <c r="K648" s="190"/>
      <c r="L648" s="190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 spans="1:26" ht="12.75" customHeight="1">
      <c r="A649" s="190"/>
      <c r="B649" s="190"/>
      <c r="C649" s="190"/>
      <c r="D649" s="190"/>
      <c r="E649" s="190"/>
      <c r="F649" s="190"/>
      <c r="G649" s="190"/>
      <c r="H649" s="190"/>
      <c r="I649" s="190"/>
      <c r="J649" s="190"/>
      <c r="K649" s="190"/>
      <c r="L649" s="190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 spans="1:26" ht="12.75" customHeight="1">
      <c r="A650" s="190"/>
      <c r="B650" s="190"/>
      <c r="C650" s="190"/>
      <c r="D650" s="190"/>
      <c r="E650" s="190"/>
      <c r="F650" s="190"/>
      <c r="G650" s="190"/>
      <c r="H650" s="190"/>
      <c r="I650" s="190"/>
      <c r="J650" s="190"/>
      <c r="K650" s="190"/>
      <c r="L650" s="190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 spans="1:26" ht="12.75" customHeight="1">
      <c r="A651" s="190"/>
      <c r="B651" s="190"/>
      <c r="C651" s="190"/>
      <c r="D651" s="190"/>
      <c r="E651" s="190"/>
      <c r="F651" s="190"/>
      <c r="G651" s="190"/>
      <c r="H651" s="190"/>
      <c r="I651" s="190"/>
      <c r="J651" s="190"/>
      <c r="K651" s="190"/>
      <c r="L651" s="190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 spans="1:26" ht="12.75" customHeight="1">
      <c r="A652" s="190"/>
      <c r="B652" s="190"/>
      <c r="C652" s="190"/>
      <c r="D652" s="190"/>
      <c r="E652" s="190"/>
      <c r="F652" s="190"/>
      <c r="G652" s="190"/>
      <c r="H652" s="190"/>
      <c r="I652" s="190"/>
      <c r="J652" s="190"/>
      <c r="K652" s="190"/>
      <c r="L652" s="190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 spans="1:26" ht="12.75" customHeight="1">
      <c r="A653" s="190"/>
      <c r="B653" s="190"/>
      <c r="C653" s="190"/>
      <c r="D653" s="190"/>
      <c r="E653" s="190"/>
      <c r="F653" s="190"/>
      <c r="G653" s="190"/>
      <c r="H653" s="190"/>
      <c r="I653" s="190"/>
      <c r="J653" s="190"/>
      <c r="K653" s="190"/>
      <c r="L653" s="190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 spans="1:26" ht="12.75" customHeight="1">
      <c r="A654" s="190"/>
      <c r="B654" s="190"/>
      <c r="C654" s="190"/>
      <c r="D654" s="190"/>
      <c r="E654" s="190"/>
      <c r="F654" s="190"/>
      <c r="G654" s="190"/>
      <c r="H654" s="190"/>
      <c r="I654" s="190"/>
      <c r="J654" s="190"/>
      <c r="K654" s="190"/>
      <c r="L654" s="190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 spans="1:26" ht="12.75" customHeight="1">
      <c r="A655" s="190"/>
      <c r="B655" s="190"/>
      <c r="C655" s="190"/>
      <c r="D655" s="190"/>
      <c r="E655" s="190"/>
      <c r="F655" s="190"/>
      <c r="G655" s="190"/>
      <c r="H655" s="190"/>
      <c r="I655" s="190"/>
      <c r="J655" s="190"/>
      <c r="K655" s="190"/>
      <c r="L655" s="190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 spans="1:26" ht="12.75" customHeight="1">
      <c r="A656" s="190"/>
      <c r="B656" s="190"/>
      <c r="C656" s="190"/>
      <c r="D656" s="190"/>
      <c r="E656" s="190"/>
      <c r="F656" s="190"/>
      <c r="G656" s="190"/>
      <c r="H656" s="190"/>
      <c r="I656" s="190"/>
      <c r="J656" s="190"/>
      <c r="K656" s="190"/>
      <c r="L656" s="190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 spans="1:26" ht="12.75" customHeight="1">
      <c r="A657" s="190"/>
      <c r="B657" s="190"/>
      <c r="C657" s="190"/>
      <c r="D657" s="190"/>
      <c r="E657" s="190"/>
      <c r="F657" s="190"/>
      <c r="G657" s="190"/>
      <c r="H657" s="190"/>
      <c r="I657" s="190"/>
      <c r="J657" s="190"/>
      <c r="K657" s="190"/>
      <c r="L657" s="190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 spans="1:26" ht="12.75" customHeight="1">
      <c r="A658" s="190"/>
      <c r="B658" s="190"/>
      <c r="C658" s="190"/>
      <c r="D658" s="190"/>
      <c r="E658" s="190"/>
      <c r="F658" s="190"/>
      <c r="G658" s="190"/>
      <c r="H658" s="190"/>
      <c r="I658" s="190"/>
      <c r="J658" s="190"/>
      <c r="K658" s="190"/>
      <c r="L658" s="190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 spans="1:26" ht="12.75" customHeight="1">
      <c r="A659" s="190"/>
      <c r="B659" s="190"/>
      <c r="C659" s="190"/>
      <c r="D659" s="190"/>
      <c r="E659" s="190"/>
      <c r="F659" s="190"/>
      <c r="G659" s="190"/>
      <c r="H659" s="190"/>
      <c r="I659" s="190"/>
      <c r="J659" s="190"/>
      <c r="K659" s="190"/>
      <c r="L659" s="190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 spans="1:26" ht="12.75" customHeight="1">
      <c r="A660" s="190"/>
      <c r="B660" s="190"/>
      <c r="C660" s="190"/>
      <c r="D660" s="190"/>
      <c r="E660" s="190"/>
      <c r="F660" s="190"/>
      <c r="G660" s="190"/>
      <c r="H660" s="190"/>
      <c r="I660" s="190"/>
      <c r="J660" s="190"/>
      <c r="K660" s="190"/>
      <c r="L660" s="190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 spans="1:26" ht="12.75" customHeight="1">
      <c r="A661" s="190"/>
      <c r="B661" s="190"/>
      <c r="C661" s="190"/>
      <c r="D661" s="190"/>
      <c r="E661" s="190"/>
      <c r="F661" s="190"/>
      <c r="G661" s="190"/>
      <c r="H661" s="190"/>
      <c r="I661" s="190"/>
      <c r="J661" s="190"/>
      <c r="K661" s="190"/>
      <c r="L661" s="190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 spans="1:26" ht="12.75" customHeight="1">
      <c r="A662" s="190"/>
      <c r="B662" s="190"/>
      <c r="C662" s="190"/>
      <c r="D662" s="190"/>
      <c r="E662" s="190"/>
      <c r="F662" s="190"/>
      <c r="G662" s="190"/>
      <c r="H662" s="190"/>
      <c r="I662" s="190"/>
      <c r="J662" s="190"/>
      <c r="K662" s="190"/>
      <c r="L662" s="190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 spans="1:26" ht="12.75" customHeight="1">
      <c r="A663" s="190"/>
      <c r="B663" s="190"/>
      <c r="C663" s="190"/>
      <c r="D663" s="190"/>
      <c r="E663" s="190"/>
      <c r="F663" s="190"/>
      <c r="G663" s="190"/>
      <c r="H663" s="190"/>
      <c r="I663" s="190"/>
      <c r="J663" s="190"/>
      <c r="K663" s="190"/>
      <c r="L663" s="190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 spans="1:26" ht="12.75" customHeight="1">
      <c r="A664" s="190"/>
      <c r="B664" s="190"/>
      <c r="C664" s="190"/>
      <c r="D664" s="190"/>
      <c r="E664" s="190"/>
      <c r="F664" s="190"/>
      <c r="G664" s="190"/>
      <c r="H664" s="190"/>
      <c r="I664" s="190"/>
      <c r="J664" s="190"/>
      <c r="K664" s="190"/>
      <c r="L664" s="190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 spans="1:26" ht="12.75" customHeight="1">
      <c r="A665" s="190"/>
      <c r="B665" s="190"/>
      <c r="C665" s="190"/>
      <c r="D665" s="190"/>
      <c r="E665" s="190"/>
      <c r="F665" s="190"/>
      <c r="G665" s="190"/>
      <c r="H665" s="190"/>
      <c r="I665" s="190"/>
      <c r="J665" s="190"/>
      <c r="K665" s="190"/>
      <c r="L665" s="190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 spans="1:26" ht="12.75" customHeight="1">
      <c r="A666" s="190"/>
      <c r="B666" s="190"/>
      <c r="C666" s="190"/>
      <c r="D666" s="190"/>
      <c r="E666" s="190"/>
      <c r="F666" s="190"/>
      <c r="G666" s="190"/>
      <c r="H666" s="190"/>
      <c r="I666" s="190"/>
      <c r="J666" s="190"/>
      <c r="K666" s="190"/>
      <c r="L666" s="190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 spans="1:26" ht="12.75" customHeight="1">
      <c r="A667" s="190"/>
      <c r="B667" s="190"/>
      <c r="C667" s="190"/>
      <c r="D667" s="190"/>
      <c r="E667" s="190"/>
      <c r="F667" s="190"/>
      <c r="G667" s="190"/>
      <c r="H667" s="190"/>
      <c r="I667" s="190"/>
      <c r="J667" s="190"/>
      <c r="K667" s="190"/>
      <c r="L667" s="190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 spans="1:26" ht="12.75" customHeight="1">
      <c r="A668" s="190"/>
      <c r="B668" s="190"/>
      <c r="C668" s="190"/>
      <c r="D668" s="190"/>
      <c r="E668" s="190"/>
      <c r="F668" s="190"/>
      <c r="G668" s="190"/>
      <c r="H668" s="190"/>
      <c r="I668" s="190"/>
      <c r="J668" s="190"/>
      <c r="K668" s="190"/>
      <c r="L668" s="190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 spans="1:26" ht="12.75" customHeight="1">
      <c r="A669" s="190"/>
      <c r="B669" s="190"/>
      <c r="C669" s="190"/>
      <c r="D669" s="190"/>
      <c r="E669" s="190"/>
      <c r="F669" s="190"/>
      <c r="G669" s="190"/>
      <c r="H669" s="190"/>
      <c r="I669" s="190"/>
      <c r="J669" s="190"/>
      <c r="K669" s="190"/>
      <c r="L669" s="190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 spans="1:26" ht="12.75" customHeight="1">
      <c r="A670" s="190"/>
      <c r="B670" s="190"/>
      <c r="C670" s="190"/>
      <c r="D670" s="190"/>
      <c r="E670" s="190"/>
      <c r="F670" s="190"/>
      <c r="G670" s="190"/>
      <c r="H670" s="190"/>
      <c r="I670" s="190"/>
      <c r="J670" s="190"/>
      <c r="K670" s="190"/>
      <c r="L670" s="190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 spans="1:26" ht="12.75" customHeight="1">
      <c r="A671" s="190"/>
      <c r="B671" s="190"/>
      <c r="C671" s="190"/>
      <c r="D671" s="190"/>
      <c r="E671" s="190"/>
      <c r="F671" s="190"/>
      <c r="G671" s="190"/>
      <c r="H671" s="190"/>
      <c r="I671" s="190"/>
      <c r="J671" s="190"/>
      <c r="K671" s="190"/>
      <c r="L671" s="190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 spans="1:26" ht="12.75" customHeight="1">
      <c r="A672" s="190"/>
      <c r="B672" s="190"/>
      <c r="C672" s="190"/>
      <c r="D672" s="190"/>
      <c r="E672" s="190"/>
      <c r="F672" s="190"/>
      <c r="G672" s="190"/>
      <c r="H672" s="190"/>
      <c r="I672" s="190"/>
      <c r="J672" s="190"/>
      <c r="K672" s="190"/>
      <c r="L672" s="190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 spans="1:26" ht="12.75" customHeight="1">
      <c r="A673" s="190"/>
      <c r="B673" s="190"/>
      <c r="C673" s="190"/>
      <c r="D673" s="190"/>
      <c r="E673" s="190"/>
      <c r="F673" s="190"/>
      <c r="G673" s="190"/>
      <c r="H673" s="190"/>
      <c r="I673" s="190"/>
      <c r="J673" s="190"/>
      <c r="K673" s="190"/>
      <c r="L673" s="190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 spans="1:26" ht="12.75" customHeight="1">
      <c r="A674" s="190"/>
      <c r="B674" s="190"/>
      <c r="C674" s="190"/>
      <c r="D674" s="190"/>
      <c r="E674" s="190"/>
      <c r="F674" s="190"/>
      <c r="G674" s="190"/>
      <c r="H674" s="190"/>
      <c r="I674" s="190"/>
      <c r="J674" s="190"/>
      <c r="K674" s="190"/>
      <c r="L674" s="190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 spans="1:26" ht="12.75" customHeight="1">
      <c r="A675" s="190"/>
      <c r="B675" s="190"/>
      <c r="C675" s="190"/>
      <c r="D675" s="190"/>
      <c r="E675" s="190"/>
      <c r="F675" s="190"/>
      <c r="G675" s="190"/>
      <c r="H675" s="190"/>
      <c r="I675" s="190"/>
      <c r="J675" s="190"/>
      <c r="K675" s="190"/>
      <c r="L675" s="190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 spans="1:26" ht="12.75" customHeight="1">
      <c r="A676" s="190"/>
      <c r="B676" s="190"/>
      <c r="C676" s="190"/>
      <c r="D676" s="190"/>
      <c r="E676" s="190"/>
      <c r="F676" s="190"/>
      <c r="G676" s="190"/>
      <c r="H676" s="190"/>
      <c r="I676" s="190"/>
      <c r="J676" s="190"/>
      <c r="K676" s="190"/>
      <c r="L676" s="190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 spans="1:26" ht="12.75" customHeight="1">
      <c r="A677" s="190"/>
      <c r="B677" s="190"/>
      <c r="C677" s="190"/>
      <c r="D677" s="190"/>
      <c r="E677" s="190"/>
      <c r="F677" s="190"/>
      <c r="G677" s="190"/>
      <c r="H677" s="190"/>
      <c r="I677" s="190"/>
      <c r="J677" s="190"/>
      <c r="K677" s="190"/>
      <c r="L677" s="190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 spans="1:26" ht="12.75" customHeight="1">
      <c r="A678" s="190"/>
      <c r="B678" s="190"/>
      <c r="C678" s="190"/>
      <c r="D678" s="190"/>
      <c r="E678" s="190"/>
      <c r="F678" s="190"/>
      <c r="G678" s="190"/>
      <c r="H678" s="190"/>
      <c r="I678" s="190"/>
      <c r="J678" s="190"/>
      <c r="K678" s="190"/>
      <c r="L678" s="190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 spans="1:26" ht="12.75" customHeight="1">
      <c r="A679" s="190"/>
      <c r="B679" s="190"/>
      <c r="C679" s="190"/>
      <c r="D679" s="190"/>
      <c r="E679" s="190"/>
      <c r="F679" s="190"/>
      <c r="G679" s="190"/>
      <c r="H679" s="190"/>
      <c r="I679" s="190"/>
      <c r="J679" s="190"/>
      <c r="K679" s="190"/>
      <c r="L679" s="190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 spans="1:26" ht="12.75" customHeight="1">
      <c r="A680" s="190"/>
      <c r="B680" s="190"/>
      <c r="C680" s="190"/>
      <c r="D680" s="190"/>
      <c r="E680" s="190"/>
      <c r="F680" s="190"/>
      <c r="G680" s="190"/>
      <c r="H680" s="190"/>
      <c r="I680" s="190"/>
      <c r="J680" s="190"/>
      <c r="K680" s="190"/>
      <c r="L680" s="190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 spans="1:26" ht="12.75" customHeight="1">
      <c r="A681" s="190"/>
      <c r="B681" s="190"/>
      <c r="C681" s="190"/>
      <c r="D681" s="190"/>
      <c r="E681" s="190"/>
      <c r="F681" s="190"/>
      <c r="G681" s="190"/>
      <c r="H681" s="190"/>
      <c r="I681" s="190"/>
      <c r="J681" s="190"/>
      <c r="K681" s="190"/>
      <c r="L681" s="190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 spans="1:26" ht="12.75" customHeight="1">
      <c r="A682" s="190"/>
      <c r="B682" s="190"/>
      <c r="C682" s="190"/>
      <c r="D682" s="190"/>
      <c r="E682" s="190"/>
      <c r="F682" s="190"/>
      <c r="G682" s="190"/>
      <c r="H682" s="190"/>
      <c r="I682" s="190"/>
      <c r="J682" s="190"/>
      <c r="K682" s="190"/>
      <c r="L682" s="190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 spans="1:26" ht="12.75" customHeight="1">
      <c r="A683" s="190"/>
      <c r="B683" s="190"/>
      <c r="C683" s="190"/>
      <c r="D683" s="190"/>
      <c r="E683" s="190"/>
      <c r="F683" s="190"/>
      <c r="G683" s="190"/>
      <c r="H683" s="190"/>
      <c r="I683" s="190"/>
      <c r="J683" s="190"/>
      <c r="K683" s="190"/>
      <c r="L683" s="190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 spans="1:26" ht="12.75" customHeight="1">
      <c r="A684" s="190"/>
      <c r="B684" s="190"/>
      <c r="C684" s="190"/>
      <c r="D684" s="190"/>
      <c r="E684" s="190"/>
      <c r="F684" s="190"/>
      <c r="G684" s="190"/>
      <c r="H684" s="190"/>
      <c r="I684" s="190"/>
      <c r="J684" s="190"/>
      <c r="K684" s="190"/>
      <c r="L684" s="190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 spans="1:26" ht="12.75" customHeight="1">
      <c r="A685" s="190"/>
      <c r="B685" s="190"/>
      <c r="C685" s="190"/>
      <c r="D685" s="190"/>
      <c r="E685" s="190"/>
      <c r="F685" s="190"/>
      <c r="G685" s="190"/>
      <c r="H685" s="190"/>
      <c r="I685" s="190"/>
      <c r="J685" s="190"/>
      <c r="K685" s="190"/>
      <c r="L685" s="190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 spans="1:26" ht="12.75" customHeight="1">
      <c r="A686" s="190"/>
      <c r="B686" s="190"/>
      <c r="C686" s="190"/>
      <c r="D686" s="190"/>
      <c r="E686" s="190"/>
      <c r="F686" s="190"/>
      <c r="G686" s="190"/>
      <c r="H686" s="190"/>
      <c r="I686" s="190"/>
      <c r="J686" s="190"/>
      <c r="K686" s="190"/>
      <c r="L686" s="190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 spans="1:26" ht="12.75" customHeight="1">
      <c r="A687" s="190"/>
      <c r="B687" s="190"/>
      <c r="C687" s="190"/>
      <c r="D687" s="190"/>
      <c r="E687" s="190"/>
      <c r="F687" s="190"/>
      <c r="G687" s="190"/>
      <c r="H687" s="190"/>
      <c r="I687" s="190"/>
      <c r="J687" s="190"/>
      <c r="K687" s="190"/>
      <c r="L687" s="190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 spans="1:26" ht="12.75" customHeight="1">
      <c r="A688" s="190"/>
      <c r="B688" s="190"/>
      <c r="C688" s="190"/>
      <c r="D688" s="190"/>
      <c r="E688" s="190"/>
      <c r="F688" s="190"/>
      <c r="G688" s="190"/>
      <c r="H688" s="190"/>
      <c r="I688" s="190"/>
      <c r="J688" s="190"/>
      <c r="K688" s="190"/>
      <c r="L688" s="190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 spans="1:26" ht="12.75" customHeight="1">
      <c r="A689" s="190"/>
      <c r="B689" s="190"/>
      <c r="C689" s="190"/>
      <c r="D689" s="190"/>
      <c r="E689" s="190"/>
      <c r="F689" s="190"/>
      <c r="G689" s="190"/>
      <c r="H689" s="190"/>
      <c r="I689" s="190"/>
      <c r="J689" s="190"/>
      <c r="K689" s="190"/>
      <c r="L689" s="190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 spans="1:26" ht="12.75" customHeight="1">
      <c r="A690" s="190"/>
      <c r="B690" s="190"/>
      <c r="C690" s="190"/>
      <c r="D690" s="190"/>
      <c r="E690" s="190"/>
      <c r="F690" s="190"/>
      <c r="G690" s="190"/>
      <c r="H690" s="190"/>
      <c r="I690" s="190"/>
      <c r="J690" s="190"/>
      <c r="K690" s="190"/>
      <c r="L690" s="190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 spans="1:26" ht="12.75" customHeight="1">
      <c r="A691" s="190"/>
      <c r="B691" s="190"/>
      <c r="C691" s="190"/>
      <c r="D691" s="190"/>
      <c r="E691" s="190"/>
      <c r="F691" s="190"/>
      <c r="G691" s="190"/>
      <c r="H691" s="190"/>
      <c r="I691" s="190"/>
      <c r="J691" s="190"/>
      <c r="K691" s="190"/>
      <c r="L691" s="190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 spans="1:26" ht="12.75" customHeight="1">
      <c r="A692" s="190"/>
      <c r="B692" s="190"/>
      <c r="C692" s="190"/>
      <c r="D692" s="190"/>
      <c r="E692" s="190"/>
      <c r="F692" s="190"/>
      <c r="G692" s="190"/>
      <c r="H692" s="190"/>
      <c r="I692" s="190"/>
      <c r="J692" s="190"/>
      <c r="K692" s="190"/>
      <c r="L692" s="190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 spans="1:26" ht="12.75" customHeight="1">
      <c r="A693" s="190"/>
      <c r="B693" s="190"/>
      <c r="C693" s="190"/>
      <c r="D693" s="190"/>
      <c r="E693" s="190"/>
      <c r="F693" s="190"/>
      <c r="G693" s="190"/>
      <c r="H693" s="190"/>
      <c r="I693" s="190"/>
      <c r="J693" s="190"/>
      <c r="K693" s="190"/>
      <c r="L693" s="190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 spans="1:26" ht="12.75" customHeight="1">
      <c r="A694" s="190"/>
      <c r="B694" s="190"/>
      <c r="C694" s="190"/>
      <c r="D694" s="190"/>
      <c r="E694" s="190"/>
      <c r="F694" s="190"/>
      <c r="G694" s="190"/>
      <c r="H694" s="190"/>
      <c r="I694" s="190"/>
      <c r="J694" s="190"/>
      <c r="K694" s="190"/>
      <c r="L694" s="190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 spans="1:26" ht="12.75" customHeight="1">
      <c r="A695" s="190"/>
      <c r="B695" s="190"/>
      <c r="C695" s="190"/>
      <c r="D695" s="190"/>
      <c r="E695" s="190"/>
      <c r="F695" s="190"/>
      <c r="G695" s="190"/>
      <c r="H695" s="190"/>
      <c r="I695" s="190"/>
      <c r="J695" s="190"/>
      <c r="K695" s="190"/>
      <c r="L695" s="190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 spans="1:26" ht="12.75" customHeight="1">
      <c r="A696" s="190"/>
      <c r="B696" s="190"/>
      <c r="C696" s="190"/>
      <c r="D696" s="190"/>
      <c r="E696" s="190"/>
      <c r="F696" s="190"/>
      <c r="G696" s="190"/>
      <c r="H696" s="190"/>
      <c r="I696" s="190"/>
      <c r="J696" s="190"/>
      <c r="K696" s="190"/>
      <c r="L696" s="190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 spans="1:26" ht="12.75" customHeight="1">
      <c r="A697" s="190"/>
      <c r="B697" s="190"/>
      <c r="C697" s="190"/>
      <c r="D697" s="190"/>
      <c r="E697" s="190"/>
      <c r="F697" s="190"/>
      <c r="G697" s="190"/>
      <c r="H697" s="190"/>
      <c r="I697" s="190"/>
      <c r="J697" s="190"/>
      <c r="K697" s="190"/>
      <c r="L697" s="190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 spans="1:26" ht="12.75" customHeight="1">
      <c r="A698" s="190"/>
      <c r="B698" s="190"/>
      <c r="C698" s="190"/>
      <c r="D698" s="190"/>
      <c r="E698" s="190"/>
      <c r="F698" s="190"/>
      <c r="G698" s="190"/>
      <c r="H698" s="190"/>
      <c r="I698" s="190"/>
      <c r="J698" s="190"/>
      <c r="K698" s="190"/>
      <c r="L698" s="190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 spans="1:26" ht="12.75" customHeight="1">
      <c r="A699" s="190"/>
      <c r="B699" s="190"/>
      <c r="C699" s="190"/>
      <c r="D699" s="190"/>
      <c r="E699" s="190"/>
      <c r="F699" s="190"/>
      <c r="G699" s="190"/>
      <c r="H699" s="190"/>
      <c r="I699" s="190"/>
      <c r="J699" s="190"/>
      <c r="K699" s="190"/>
      <c r="L699" s="190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 spans="1:26" ht="12.75" customHeight="1">
      <c r="A700" s="190"/>
      <c r="B700" s="190"/>
      <c r="C700" s="190"/>
      <c r="D700" s="190"/>
      <c r="E700" s="190"/>
      <c r="F700" s="190"/>
      <c r="G700" s="190"/>
      <c r="H700" s="190"/>
      <c r="I700" s="190"/>
      <c r="J700" s="190"/>
      <c r="K700" s="190"/>
      <c r="L700" s="190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 spans="1:26" ht="12.75" customHeight="1">
      <c r="A701" s="190"/>
      <c r="B701" s="190"/>
      <c r="C701" s="190"/>
      <c r="D701" s="190"/>
      <c r="E701" s="190"/>
      <c r="F701" s="190"/>
      <c r="G701" s="190"/>
      <c r="H701" s="190"/>
      <c r="I701" s="190"/>
      <c r="J701" s="190"/>
      <c r="K701" s="190"/>
      <c r="L701" s="190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 spans="1:26" ht="12.75" customHeight="1">
      <c r="A702" s="190"/>
      <c r="B702" s="190"/>
      <c r="C702" s="190"/>
      <c r="D702" s="190"/>
      <c r="E702" s="190"/>
      <c r="F702" s="190"/>
      <c r="G702" s="190"/>
      <c r="H702" s="190"/>
      <c r="I702" s="190"/>
      <c r="J702" s="190"/>
      <c r="K702" s="190"/>
      <c r="L702" s="190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 spans="1:26" ht="12.75" customHeight="1">
      <c r="A703" s="190"/>
      <c r="B703" s="190"/>
      <c r="C703" s="190"/>
      <c r="D703" s="190"/>
      <c r="E703" s="190"/>
      <c r="F703" s="190"/>
      <c r="G703" s="190"/>
      <c r="H703" s="190"/>
      <c r="I703" s="190"/>
      <c r="J703" s="190"/>
      <c r="K703" s="190"/>
      <c r="L703" s="190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 spans="1:26" ht="12.75" customHeight="1">
      <c r="A704" s="190"/>
      <c r="B704" s="190"/>
      <c r="C704" s="190"/>
      <c r="D704" s="190"/>
      <c r="E704" s="190"/>
      <c r="F704" s="190"/>
      <c r="G704" s="190"/>
      <c r="H704" s="190"/>
      <c r="I704" s="190"/>
      <c r="J704" s="190"/>
      <c r="K704" s="190"/>
      <c r="L704" s="190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 spans="1:26" ht="12.75" customHeight="1">
      <c r="A705" s="190"/>
      <c r="B705" s="190"/>
      <c r="C705" s="190"/>
      <c r="D705" s="190"/>
      <c r="E705" s="190"/>
      <c r="F705" s="190"/>
      <c r="G705" s="190"/>
      <c r="H705" s="190"/>
      <c r="I705" s="190"/>
      <c r="J705" s="190"/>
      <c r="K705" s="190"/>
      <c r="L705" s="190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 spans="1:26" ht="12.75" customHeight="1">
      <c r="A706" s="190"/>
      <c r="B706" s="190"/>
      <c r="C706" s="190"/>
      <c r="D706" s="190"/>
      <c r="E706" s="190"/>
      <c r="F706" s="190"/>
      <c r="G706" s="190"/>
      <c r="H706" s="190"/>
      <c r="I706" s="190"/>
      <c r="J706" s="190"/>
      <c r="K706" s="190"/>
      <c r="L706" s="190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 spans="1:26" ht="12.75" customHeight="1">
      <c r="A707" s="190"/>
      <c r="B707" s="190"/>
      <c r="C707" s="190"/>
      <c r="D707" s="190"/>
      <c r="E707" s="190"/>
      <c r="F707" s="190"/>
      <c r="G707" s="190"/>
      <c r="H707" s="190"/>
      <c r="I707" s="190"/>
      <c r="J707" s="190"/>
      <c r="K707" s="190"/>
      <c r="L707" s="190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 spans="1:26" ht="12.75" customHeight="1">
      <c r="A708" s="190"/>
      <c r="B708" s="190"/>
      <c r="C708" s="190"/>
      <c r="D708" s="190"/>
      <c r="E708" s="190"/>
      <c r="F708" s="190"/>
      <c r="G708" s="190"/>
      <c r="H708" s="190"/>
      <c r="I708" s="190"/>
      <c r="J708" s="190"/>
      <c r="K708" s="190"/>
      <c r="L708" s="190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 spans="1:26" ht="12.75" customHeight="1">
      <c r="A709" s="190"/>
      <c r="B709" s="190"/>
      <c r="C709" s="190"/>
      <c r="D709" s="190"/>
      <c r="E709" s="190"/>
      <c r="F709" s="190"/>
      <c r="G709" s="190"/>
      <c r="H709" s="190"/>
      <c r="I709" s="190"/>
      <c r="J709" s="190"/>
      <c r="K709" s="190"/>
      <c r="L709" s="190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 spans="1:26" ht="12.75" customHeight="1">
      <c r="A710" s="190"/>
      <c r="B710" s="190"/>
      <c r="C710" s="190"/>
      <c r="D710" s="190"/>
      <c r="E710" s="190"/>
      <c r="F710" s="190"/>
      <c r="G710" s="190"/>
      <c r="H710" s="190"/>
      <c r="I710" s="190"/>
      <c r="J710" s="190"/>
      <c r="K710" s="190"/>
      <c r="L710" s="190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 spans="1:26" ht="12.75" customHeight="1">
      <c r="A711" s="190"/>
      <c r="B711" s="190"/>
      <c r="C711" s="190"/>
      <c r="D711" s="190"/>
      <c r="E711" s="190"/>
      <c r="F711" s="190"/>
      <c r="G711" s="190"/>
      <c r="H711" s="190"/>
      <c r="I711" s="190"/>
      <c r="J711" s="190"/>
      <c r="K711" s="190"/>
      <c r="L711" s="190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 spans="1:26" ht="12.75" customHeight="1">
      <c r="A712" s="190"/>
      <c r="B712" s="190"/>
      <c r="C712" s="190"/>
      <c r="D712" s="190"/>
      <c r="E712" s="190"/>
      <c r="F712" s="190"/>
      <c r="G712" s="190"/>
      <c r="H712" s="190"/>
      <c r="I712" s="190"/>
      <c r="J712" s="190"/>
      <c r="K712" s="190"/>
      <c r="L712" s="190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 spans="1:26" ht="12.75" customHeight="1">
      <c r="A713" s="190"/>
      <c r="B713" s="190"/>
      <c r="C713" s="190"/>
      <c r="D713" s="190"/>
      <c r="E713" s="190"/>
      <c r="F713" s="190"/>
      <c r="G713" s="190"/>
      <c r="H713" s="190"/>
      <c r="I713" s="190"/>
      <c r="J713" s="190"/>
      <c r="K713" s="190"/>
      <c r="L713" s="190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 spans="1:26" ht="12.75" customHeight="1">
      <c r="A714" s="190"/>
      <c r="B714" s="190"/>
      <c r="C714" s="190"/>
      <c r="D714" s="190"/>
      <c r="E714" s="190"/>
      <c r="F714" s="190"/>
      <c r="G714" s="190"/>
      <c r="H714" s="190"/>
      <c r="I714" s="190"/>
      <c r="J714" s="190"/>
      <c r="K714" s="190"/>
      <c r="L714" s="190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 spans="1:26" ht="12.75" customHeight="1">
      <c r="A715" s="190"/>
      <c r="B715" s="190"/>
      <c r="C715" s="190"/>
      <c r="D715" s="190"/>
      <c r="E715" s="190"/>
      <c r="F715" s="190"/>
      <c r="G715" s="190"/>
      <c r="H715" s="190"/>
      <c r="I715" s="190"/>
      <c r="J715" s="190"/>
      <c r="K715" s="190"/>
      <c r="L715" s="190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 spans="1:26" ht="12.75" customHeight="1">
      <c r="A716" s="190"/>
      <c r="B716" s="190"/>
      <c r="C716" s="190"/>
      <c r="D716" s="190"/>
      <c r="E716" s="190"/>
      <c r="F716" s="190"/>
      <c r="G716" s="190"/>
      <c r="H716" s="190"/>
      <c r="I716" s="190"/>
      <c r="J716" s="190"/>
      <c r="K716" s="190"/>
      <c r="L716" s="190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 spans="1:26" ht="12.75" customHeight="1">
      <c r="A717" s="190"/>
      <c r="B717" s="190"/>
      <c r="C717" s="190"/>
      <c r="D717" s="190"/>
      <c r="E717" s="190"/>
      <c r="F717" s="190"/>
      <c r="G717" s="190"/>
      <c r="H717" s="190"/>
      <c r="I717" s="190"/>
      <c r="J717" s="190"/>
      <c r="K717" s="190"/>
      <c r="L717" s="190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 spans="1:26" ht="12.75" customHeight="1">
      <c r="A718" s="190"/>
      <c r="B718" s="190"/>
      <c r="C718" s="190"/>
      <c r="D718" s="190"/>
      <c r="E718" s="190"/>
      <c r="F718" s="190"/>
      <c r="G718" s="190"/>
      <c r="H718" s="190"/>
      <c r="I718" s="190"/>
      <c r="J718" s="190"/>
      <c r="K718" s="190"/>
      <c r="L718" s="190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 spans="1:26" ht="12.75" customHeight="1">
      <c r="A719" s="190"/>
      <c r="B719" s="190"/>
      <c r="C719" s="190"/>
      <c r="D719" s="190"/>
      <c r="E719" s="190"/>
      <c r="F719" s="190"/>
      <c r="G719" s="190"/>
      <c r="H719" s="190"/>
      <c r="I719" s="190"/>
      <c r="J719" s="190"/>
      <c r="K719" s="190"/>
      <c r="L719" s="190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 spans="1:26" ht="12.75" customHeight="1">
      <c r="A720" s="190"/>
      <c r="B720" s="190"/>
      <c r="C720" s="190"/>
      <c r="D720" s="190"/>
      <c r="E720" s="190"/>
      <c r="F720" s="190"/>
      <c r="G720" s="190"/>
      <c r="H720" s="190"/>
      <c r="I720" s="190"/>
      <c r="J720" s="190"/>
      <c r="K720" s="190"/>
      <c r="L720" s="190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 spans="1:26" ht="12.75" customHeight="1">
      <c r="A721" s="190"/>
      <c r="B721" s="190"/>
      <c r="C721" s="190"/>
      <c r="D721" s="190"/>
      <c r="E721" s="190"/>
      <c r="F721" s="190"/>
      <c r="G721" s="190"/>
      <c r="H721" s="190"/>
      <c r="I721" s="190"/>
      <c r="J721" s="190"/>
      <c r="K721" s="190"/>
      <c r="L721" s="190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 spans="1:26" ht="12.75" customHeight="1">
      <c r="A722" s="190"/>
      <c r="B722" s="190"/>
      <c r="C722" s="190"/>
      <c r="D722" s="190"/>
      <c r="E722" s="190"/>
      <c r="F722" s="190"/>
      <c r="G722" s="190"/>
      <c r="H722" s="190"/>
      <c r="I722" s="190"/>
      <c r="J722" s="190"/>
      <c r="K722" s="190"/>
      <c r="L722" s="190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 spans="1:26" ht="12.75" customHeight="1">
      <c r="A723" s="190"/>
      <c r="B723" s="190"/>
      <c r="C723" s="190"/>
      <c r="D723" s="190"/>
      <c r="E723" s="190"/>
      <c r="F723" s="190"/>
      <c r="G723" s="190"/>
      <c r="H723" s="190"/>
      <c r="I723" s="190"/>
      <c r="J723" s="190"/>
      <c r="K723" s="190"/>
      <c r="L723" s="190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 spans="1:26" ht="12.75" customHeight="1">
      <c r="A724" s="190"/>
      <c r="B724" s="190"/>
      <c r="C724" s="190"/>
      <c r="D724" s="190"/>
      <c r="E724" s="190"/>
      <c r="F724" s="190"/>
      <c r="G724" s="190"/>
      <c r="H724" s="190"/>
      <c r="I724" s="190"/>
      <c r="J724" s="190"/>
      <c r="K724" s="190"/>
      <c r="L724" s="190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 spans="1:26" ht="12.75" customHeight="1">
      <c r="A725" s="190"/>
      <c r="B725" s="190"/>
      <c r="C725" s="190"/>
      <c r="D725" s="190"/>
      <c r="E725" s="190"/>
      <c r="F725" s="190"/>
      <c r="G725" s="190"/>
      <c r="H725" s="190"/>
      <c r="I725" s="190"/>
      <c r="J725" s="190"/>
      <c r="K725" s="190"/>
      <c r="L725" s="190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 spans="1:26" ht="12.75" customHeight="1">
      <c r="A726" s="190"/>
      <c r="B726" s="190"/>
      <c r="C726" s="190"/>
      <c r="D726" s="190"/>
      <c r="E726" s="190"/>
      <c r="F726" s="190"/>
      <c r="G726" s="190"/>
      <c r="H726" s="190"/>
      <c r="I726" s="190"/>
      <c r="J726" s="190"/>
      <c r="K726" s="190"/>
      <c r="L726" s="190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 spans="1:26" ht="12.75" customHeight="1">
      <c r="A727" s="190"/>
      <c r="B727" s="190"/>
      <c r="C727" s="190"/>
      <c r="D727" s="190"/>
      <c r="E727" s="190"/>
      <c r="F727" s="190"/>
      <c r="G727" s="190"/>
      <c r="H727" s="190"/>
      <c r="I727" s="190"/>
      <c r="J727" s="190"/>
      <c r="K727" s="190"/>
      <c r="L727" s="190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 spans="1:26" ht="12.75" customHeight="1">
      <c r="A728" s="190"/>
      <c r="B728" s="190"/>
      <c r="C728" s="190"/>
      <c r="D728" s="190"/>
      <c r="E728" s="190"/>
      <c r="F728" s="190"/>
      <c r="G728" s="190"/>
      <c r="H728" s="190"/>
      <c r="I728" s="190"/>
      <c r="J728" s="190"/>
      <c r="K728" s="190"/>
      <c r="L728" s="190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 spans="1:26" ht="12.75" customHeight="1">
      <c r="A729" s="190"/>
      <c r="B729" s="190"/>
      <c r="C729" s="190"/>
      <c r="D729" s="190"/>
      <c r="E729" s="190"/>
      <c r="F729" s="190"/>
      <c r="G729" s="190"/>
      <c r="H729" s="190"/>
      <c r="I729" s="190"/>
      <c r="J729" s="190"/>
      <c r="K729" s="190"/>
      <c r="L729" s="190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 spans="1:26" ht="12.75" customHeight="1">
      <c r="A730" s="190"/>
      <c r="B730" s="190"/>
      <c r="C730" s="190"/>
      <c r="D730" s="190"/>
      <c r="E730" s="190"/>
      <c r="F730" s="190"/>
      <c r="G730" s="190"/>
      <c r="H730" s="190"/>
      <c r="I730" s="190"/>
      <c r="J730" s="190"/>
      <c r="K730" s="190"/>
      <c r="L730" s="190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 spans="1:26" ht="12.75" customHeight="1">
      <c r="A731" s="190"/>
      <c r="B731" s="190"/>
      <c r="C731" s="190"/>
      <c r="D731" s="190"/>
      <c r="E731" s="190"/>
      <c r="F731" s="190"/>
      <c r="G731" s="190"/>
      <c r="H731" s="190"/>
      <c r="I731" s="190"/>
      <c r="J731" s="190"/>
      <c r="K731" s="190"/>
      <c r="L731" s="190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 spans="1:26" ht="12.75" customHeight="1">
      <c r="A732" s="190"/>
      <c r="B732" s="190"/>
      <c r="C732" s="190"/>
      <c r="D732" s="190"/>
      <c r="E732" s="190"/>
      <c r="F732" s="190"/>
      <c r="G732" s="190"/>
      <c r="H732" s="190"/>
      <c r="I732" s="190"/>
      <c r="J732" s="190"/>
      <c r="K732" s="190"/>
      <c r="L732" s="190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 spans="1:26" ht="12.75" customHeight="1">
      <c r="A733" s="190"/>
      <c r="B733" s="190"/>
      <c r="C733" s="190"/>
      <c r="D733" s="190"/>
      <c r="E733" s="190"/>
      <c r="F733" s="190"/>
      <c r="G733" s="190"/>
      <c r="H733" s="190"/>
      <c r="I733" s="190"/>
      <c r="J733" s="190"/>
      <c r="K733" s="190"/>
      <c r="L733" s="190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 spans="1:26" ht="12.75" customHeight="1">
      <c r="A734" s="190"/>
      <c r="B734" s="190"/>
      <c r="C734" s="190"/>
      <c r="D734" s="190"/>
      <c r="E734" s="190"/>
      <c r="F734" s="190"/>
      <c r="G734" s="190"/>
      <c r="H734" s="190"/>
      <c r="I734" s="190"/>
      <c r="J734" s="190"/>
      <c r="K734" s="190"/>
      <c r="L734" s="190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 spans="1:26" ht="12.75" customHeight="1">
      <c r="A735" s="190"/>
      <c r="B735" s="190"/>
      <c r="C735" s="190"/>
      <c r="D735" s="190"/>
      <c r="E735" s="190"/>
      <c r="F735" s="190"/>
      <c r="G735" s="190"/>
      <c r="H735" s="190"/>
      <c r="I735" s="190"/>
      <c r="J735" s="190"/>
      <c r="K735" s="190"/>
      <c r="L735" s="190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 spans="1:26" ht="12.75" customHeight="1">
      <c r="A736" s="190"/>
      <c r="B736" s="190"/>
      <c r="C736" s="190"/>
      <c r="D736" s="190"/>
      <c r="E736" s="190"/>
      <c r="F736" s="190"/>
      <c r="G736" s="190"/>
      <c r="H736" s="190"/>
      <c r="I736" s="190"/>
      <c r="J736" s="190"/>
      <c r="K736" s="190"/>
      <c r="L736" s="190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 spans="1:26" ht="12.75" customHeight="1">
      <c r="A737" s="190"/>
      <c r="B737" s="190"/>
      <c r="C737" s="190"/>
      <c r="D737" s="190"/>
      <c r="E737" s="190"/>
      <c r="F737" s="190"/>
      <c r="G737" s="190"/>
      <c r="H737" s="190"/>
      <c r="I737" s="190"/>
      <c r="J737" s="190"/>
      <c r="K737" s="190"/>
      <c r="L737" s="190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 spans="1:26" ht="12.75" customHeight="1">
      <c r="A738" s="190"/>
      <c r="B738" s="190"/>
      <c r="C738" s="190"/>
      <c r="D738" s="190"/>
      <c r="E738" s="190"/>
      <c r="F738" s="190"/>
      <c r="G738" s="190"/>
      <c r="H738" s="190"/>
      <c r="I738" s="190"/>
      <c r="J738" s="190"/>
      <c r="K738" s="190"/>
      <c r="L738" s="190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 spans="1:26" ht="12.75" customHeight="1">
      <c r="A739" s="190"/>
      <c r="B739" s="190"/>
      <c r="C739" s="190"/>
      <c r="D739" s="190"/>
      <c r="E739" s="190"/>
      <c r="F739" s="190"/>
      <c r="G739" s="190"/>
      <c r="H739" s="190"/>
      <c r="I739" s="190"/>
      <c r="J739" s="190"/>
      <c r="K739" s="190"/>
      <c r="L739" s="190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 spans="1:26" ht="12.75" customHeight="1">
      <c r="A740" s="190"/>
      <c r="B740" s="190"/>
      <c r="C740" s="190"/>
      <c r="D740" s="190"/>
      <c r="E740" s="190"/>
      <c r="F740" s="190"/>
      <c r="G740" s="190"/>
      <c r="H740" s="190"/>
      <c r="I740" s="190"/>
      <c r="J740" s="190"/>
      <c r="K740" s="190"/>
      <c r="L740" s="190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 spans="1:26" ht="12.75" customHeight="1">
      <c r="A741" s="190"/>
      <c r="B741" s="190"/>
      <c r="C741" s="190"/>
      <c r="D741" s="190"/>
      <c r="E741" s="190"/>
      <c r="F741" s="190"/>
      <c r="G741" s="190"/>
      <c r="H741" s="190"/>
      <c r="I741" s="190"/>
      <c r="J741" s="190"/>
      <c r="K741" s="190"/>
      <c r="L741" s="190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 spans="1:26" ht="12.75" customHeight="1">
      <c r="A742" s="190"/>
      <c r="B742" s="190"/>
      <c r="C742" s="190"/>
      <c r="D742" s="190"/>
      <c r="E742" s="190"/>
      <c r="F742" s="190"/>
      <c r="G742" s="190"/>
      <c r="H742" s="190"/>
      <c r="I742" s="190"/>
      <c r="J742" s="190"/>
      <c r="K742" s="190"/>
      <c r="L742" s="190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 spans="1:26" ht="12.75" customHeight="1">
      <c r="A743" s="190"/>
      <c r="B743" s="190"/>
      <c r="C743" s="190"/>
      <c r="D743" s="190"/>
      <c r="E743" s="190"/>
      <c r="F743" s="190"/>
      <c r="G743" s="190"/>
      <c r="H743" s="190"/>
      <c r="I743" s="190"/>
      <c r="J743" s="190"/>
      <c r="K743" s="190"/>
      <c r="L743" s="190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 spans="1:26" ht="12.75" customHeight="1">
      <c r="A744" s="190"/>
      <c r="B744" s="190"/>
      <c r="C744" s="190"/>
      <c r="D744" s="190"/>
      <c r="E744" s="190"/>
      <c r="F744" s="190"/>
      <c r="G744" s="190"/>
      <c r="H744" s="190"/>
      <c r="I744" s="190"/>
      <c r="J744" s="190"/>
      <c r="K744" s="190"/>
      <c r="L744" s="190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 spans="1:26" ht="12.75" customHeight="1">
      <c r="A745" s="190"/>
      <c r="B745" s="190"/>
      <c r="C745" s="190"/>
      <c r="D745" s="190"/>
      <c r="E745" s="190"/>
      <c r="F745" s="190"/>
      <c r="G745" s="190"/>
      <c r="H745" s="190"/>
      <c r="I745" s="190"/>
      <c r="J745" s="190"/>
      <c r="K745" s="190"/>
      <c r="L745" s="190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 spans="1:26" ht="12.75" customHeight="1">
      <c r="A746" s="190"/>
      <c r="B746" s="190"/>
      <c r="C746" s="190"/>
      <c r="D746" s="190"/>
      <c r="E746" s="190"/>
      <c r="F746" s="190"/>
      <c r="G746" s="190"/>
      <c r="H746" s="190"/>
      <c r="I746" s="190"/>
      <c r="J746" s="190"/>
      <c r="K746" s="190"/>
      <c r="L746" s="190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 spans="1:26" ht="12.75" customHeight="1">
      <c r="A747" s="190"/>
      <c r="B747" s="190"/>
      <c r="C747" s="190"/>
      <c r="D747" s="190"/>
      <c r="E747" s="190"/>
      <c r="F747" s="190"/>
      <c r="G747" s="190"/>
      <c r="H747" s="190"/>
      <c r="I747" s="190"/>
      <c r="J747" s="190"/>
      <c r="K747" s="190"/>
      <c r="L747" s="190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 spans="1:26" ht="12.75" customHeight="1">
      <c r="A748" s="190"/>
      <c r="B748" s="190"/>
      <c r="C748" s="190"/>
      <c r="D748" s="190"/>
      <c r="E748" s="190"/>
      <c r="F748" s="190"/>
      <c r="G748" s="190"/>
      <c r="H748" s="190"/>
      <c r="I748" s="190"/>
      <c r="J748" s="190"/>
      <c r="K748" s="190"/>
      <c r="L748" s="190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 spans="1:26" ht="12.75" customHeight="1">
      <c r="A749" s="190"/>
      <c r="B749" s="190"/>
      <c r="C749" s="190"/>
      <c r="D749" s="190"/>
      <c r="E749" s="190"/>
      <c r="F749" s="190"/>
      <c r="G749" s="190"/>
      <c r="H749" s="190"/>
      <c r="I749" s="190"/>
      <c r="J749" s="190"/>
      <c r="K749" s="190"/>
      <c r="L749" s="190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 spans="1:26" ht="12.75" customHeight="1">
      <c r="A750" s="190"/>
      <c r="B750" s="190"/>
      <c r="C750" s="190"/>
      <c r="D750" s="190"/>
      <c r="E750" s="190"/>
      <c r="F750" s="190"/>
      <c r="G750" s="190"/>
      <c r="H750" s="190"/>
      <c r="I750" s="190"/>
      <c r="J750" s="190"/>
      <c r="K750" s="190"/>
      <c r="L750" s="190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 spans="1:26" ht="12.75" customHeight="1">
      <c r="A751" s="190"/>
      <c r="B751" s="190"/>
      <c r="C751" s="190"/>
      <c r="D751" s="190"/>
      <c r="E751" s="190"/>
      <c r="F751" s="190"/>
      <c r="G751" s="190"/>
      <c r="H751" s="190"/>
      <c r="I751" s="190"/>
      <c r="J751" s="190"/>
      <c r="K751" s="190"/>
      <c r="L751" s="190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 spans="1:26" ht="12.75" customHeight="1">
      <c r="A752" s="190"/>
      <c r="B752" s="190"/>
      <c r="C752" s="190"/>
      <c r="D752" s="190"/>
      <c r="E752" s="190"/>
      <c r="F752" s="190"/>
      <c r="G752" s="190"/>
      <c r="H752" s="190"/>
      <c r="I752" s="190"/>
      <c r="J752" s="190"/>
      <c r="K752" s="190"/>
      <c r="L752" s="190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 spans="1:26" ht="12.75" customHeight="1">
      <c r="A753" s="190"/>
      <c r="B753" s="190"/>
      <c r="C753" s="190"/>
      <c r="D753" s="190"/>
      <c r="E753" s="190"/>
      <c r="F753" s="190"/>
      <c r="G753" s="190"/>
      <c r="H753" s="190"/>
      <c r="I753" s="190"/>
      <c r="J753" s="190"/>
      <c r="K753" s="190"/>
      <c r="L753" s="190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 spans="1:26" ht="12.75" customHeight="1">
      <c r="A754" s="190"/>
      <c r="B754" s="190"/>
      <c r="C754" s="190"/>
      <c r="D754" s="190"/>
      <c r="E754" s="190"/>
      <c r="F754" s="190"/>
      <c r="G754" s="190"/>
      <c r="H754" s="190"/>
      <c r="I754" s="190"/>
      <c r="J754" s="190"/>
      <c r="K754" s="190"/>
      <c r="L754" s="190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 spans="1:26" ht="12.75" customHeight="1">
      <c r="A755" s="190"/>
      <c r="B755" s="190"/>
      <c r="C755" s="190"/>
      <c r="D755" s="190"/>
      <c r="E755" s="190"/>
      <c r="F755" s="190"/>
      <c r="G755" s="190"/>
      <c r="H755" s="190"/>
      <c r="I755" s="190"/>
      <c r="J755" s="190"/>
      <c r="K755" s="190"/>
      <c r="L755" s="190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 spans="1:26" ht="12.75" customHeight="1">
      <c r="A756" s="190"/>
      <c r="B756" s="190"/>
      <c r="C756" s="190"/>
      <c r="D756" s="190"/>
      <c r="E756" s="190"/>
      <c r="F756" s="190"/>
      <c r="G756" s="190"/>
      <c r="H756" s="190"/>
      <c r="I756" s="190"/>
      <c r="J756" s="190"/>
      <c r="K756" s="190"/>
      <c r="L756" s="190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 spans="1:26" ht="12.75" customHeight="1">
      <c r="A757" s="190"/>
      <c r="B757" s="190"/>
      <c r="C757" s="190"/>
      <c r="D757" s="190"/>
      <c r="E757" s="190"/>
      <c r="F757" s="190"/>
      <c r="G757" s="190"/>
      <c r="H757" s="190"/>
      <c r="I757" s="190"/>
      <c r="J757" s="190"/>
      <c r="K757" s="190"/>
      <c r="L757" s="190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 spans="1:26" ht="12.75" customHeight="1">
      <c r="A758" s="190"/>
      <c r="B758" s="190"/>
      <c r="C758" s="190"/>
      <c r="D758" s="190"/>
      <c r="E758" s="190"/>
      <c r="F758" s="190"/>
      <c r="G758" s="190"/>
      <c r="H758" s="190"/>
      <c r="I758" s="190"/>
      <c r="J758" s="190"/>
      <c r="K758" s="190"/>
      <c r="L758" s="190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 spans="1:26" ht="12.75" customHeight="1">
      <c r="A759" s="190"/>
      <c r="B759" s="190"/>
      <c r="C759" s="190"/>
      <c r="D759" s="190"/>
      <c r="E759" s="190"/>
      <c r="F759" s="190"/>
      <c r="G759" s="190"/>
      <c r="H759" s="190"/>
      <c r="I759" s="190"/>
      <c r="J759" s="190"/>
      <c r="K759" s="190"/>
      <c r="L759" s="190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 spans="1:26" ht="12.75" customHeight="1">
      <c r="A760" s="190"/>
      <c r="B760" s="190"/>
      <c r="C760" s="190"/>
      <c r="D760" s="190"/>
      <c r="E760" s="190"/>
      <c r="F760" s="190"/>
      <c r="G760" s="190"/>
      <c r="H760" s="190"/>
      <c r="I760" s="190"/>
      <c r="J760" s="190"/>
      <c r="K760" s="190"/>
      <c r="L760" s="190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 spans="1:26" ht="12.75" customHeight="1">
      <c r="A761" s="190"/>
      <c r="B761" s="190"/>
      <c r="C761" s="190"/>
      <c r="D761" s="190"/>
      <c r="E761" s="190"/>
      <c r="F761" s="190"/>
      <c r="G761" s="190"/>
      <c r="H761" s="190"/>
      <c r="I761" s="190"/>
      <c r="J761" s="190"/>
      <c r="K761" s="190"/>
      <c r="L761" s="190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 spans="1:26" ht="12.75" customHeight="1">
      <c r="A762" s="190"/>
      <c r="B762" s="190"/>
      <c r="C762" s="190"/>
      <c r="D762" s="190"/>
      <c r="E762" s="190"/>
      <c r="F762" s="190"/>
      <c r="G762" s="190"/>
      <c r="H762" s="190"/>
      <c r="I762" s="190"/>
      <c r="J762" s="190"/>
      <c r="K762" s="190"/>
      <c r="L762" s="190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 spans="1:26" ht="12.75" customHeight="1">
      <c r="A763" s="190"/>
      <c r="B763" s="190"/>
      <c r="C763" s="190"/>
      <c r="D763" s="190"/>
      <c r="E763" s="190"/>
      <c r="F763" s="190"/>
      <c r="G763" s="190"/>
      <c r="H763" s="190"/>
      <c r="I763" s="190"/>
      <c r="J763" s="190"/>
      <c r="K763" s="190"/>
      <c r="L763" s="190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 spans="1:26" ht="12.75" customHeight="1">
      <c r="A764" s="190"/>
      <c r="B764" s="190"/>
      <c r="C764" s="190"/>
      <c r="D764" s="190"/>
      <c r="E764" s="190"/>
      <c r="F764" s="190"/>
      <c r="G764" s="190"/>
      <c r="H764" s="190"/>
      <c r="I764" s="190"/>
      <c r="J764" s="190"/>
      <c r="K764" s="190"/>
      <c r="L764" s="190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 spans="1:26" ht="12.75" customHeight="1">
      <c r="A765" s="190"/>
      <c r="B765" s="190"/>
      <c r="C765" s="190"/>
      <c r="D765" s="190"/>
      <c r="E765" s="190"/>
      <c r="F765" s="190"/>
      <c r="G765" s="190"/>
      <c r="H765" s="190"/>
      <c r="I765" s="190"/>
      <c r="J765" s="190"/>
      <c r="K765" s="190"/>
      <c r="L765" s="190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 spans="1:26" ht="12.75" customHeight="1">
      <c r="A766" s="190"/>
      <c r="B766" s="190"/>
      <c r="C766" s="190"/>
      <c r="D766" s="190"/>
      <c r="E766" s="190"/>
      <c r="F766" s="190"/>
      <c r="G766" s="190"/>
      <c r="H766" s="190"/>
      <c r="I766" s="190"/>
      <c r="J766" s="190"/>
      <c r="K766" s="190"/>
      <c r="L766" s="190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 spans="1:26" ht="12.75" customHeight="1">
      <c r="A767" s="190"/>
      <c r="B767" s="190"/>
      <c r="C767" s="190"/>
      <c r="D767" s="190"/>
      <c r="E767" s="190"/>
      <c r="F767" s="190"/>
      <c r="G767" s="190"/>
      <c r="H767" s="190"/>
      <c r="I767" s="190"/>
      <c r="J767" s="190"/>
      <c r="K767" s="190"/>
      <c r="L767" s="190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 spans="1:26" ht="12.75" customHeight="1">
      <c r="A768" s="190"/>
      <c r="B768" s="190"/>
      <c r="C768" s="190"/>
      <c r="D768" s="190"/>
      <c r="E768" s="190"/>
      <c r="F768" s="190"/>
      <c r="G768" s="190"/>
      <c r="H768" s="190"/>
      <c r="I768" s="190"/>
      <c r="J768" s="190"/>
      <c r="K768" s="190"/>
      <c r="L768" s="190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 spans="1:26" ht="12.75" customHeight="1">
      <c r="A769" s="190"/>
      <c r="B769" s="190"/>
      <c r="C769" s="190"/>
      <c r="D769" s="190"/>
      <c r="E769" s="190"/>
      <c r="F769" s="190"/>
      <c r="G769" s="190"/>
      <c r="H769" s="190"/>
      <c r="I769" s="190"/>
      <c r="J769" s="190"/>
      <c r="K769" s="190"/>
      <c r="L769" s="190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 spans="1:26" ht="12.75" customHeight="1">
      <c r="A770" s="190"/>
      <c r="B770" s="190"/>
      <c r="C770" s="190"/>
      <c r="D770" s="190"/>
      <c r="E770" s="190"/>
      <c r="F770" s="190"/>
      <c r="G770" s="190"/>
      <c r="H770" s="190"/>
      <c r="I770" s="190"/>
      <c r="J770" s="190"/>
      <c r="K770" s="190"/>
      <c r="L770" s="190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 spans="1:26" ht="12.75" customHeight="1">
      <c r="A771" s="190"/>
      <c r="B771" s="190"/>
      <c r="C771" s="190"/>
      <c r="D771" s="190"/>
      <c r="E771" s="190"/>
      <c r="F771" s="190"/>
      <c r="G771" s="190"/>
      <c r="H771" s="190"/>
      <c r="I771" s="190"/>
      <c r="J771" s="190"/>
      <c r="K771" s="190"/>
      <c r="L771" s="190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 spans="1:26" ht="12.75" customHeight="1">
      <c r="A772" s="190"/>
      <c r="B772" s="190"/>
      <c r="C772" s="190"/>
      <c r="D772" s="190"/>
      <c r="E772" s="190"/>
      <c r="F772" s="190"/>
      <c r="G772" s="190"/>
      <c r="H772" s="190"/>
      <c r="I772" s="190"/>
      <c r="J772" s="190"/>
      <c r="K772" s="190"/>
      <c r="L772" s="190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 spans="1:26" ht="12.75" customHeight="1">
      <c r="A773" s="190"/>
      <c r="B773" s="190"/>
      <c r="C773" s="190"/>
      <c r="D773" s="190"/>
      <c r="E773" s="190"/>
      <c r="F773" s="190"/>
      <c r="G773" s="190"/>
      <c r="H773" s="190"/>
      <c r="I773" s="190"/>
      <c r="J773" s="190"/>
      <c r="K773" s="190"/>
      <c r="L773" s="190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 spans="1:26" ht="12.75" customHeight="1">
      <c r="A774" s="190"/>
      <c r="B774" s="190"/>
      <c r="C774" s="190"/>
      <c r="D774" s="190"/>
      <c r="E774" s="190"/>
      <c r="F774" s="190"/>
      <c r="G774" s="190"/>
      <c r="H774" s="190"/>
      <c r="I774" s="190"/>
      <c r="J774" s="190"/>
      <c r="K774" s="190"/>
      <c r="L774" s="190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 spans="1:26" ht="12.75" customHeight="1">
      <c r="A775" s="190"/>
      <c r="B775" s="190"/>
      <c r="C775" s="190"/>
      <c r="D775" s="190"/>
      <c r="E775" s="190"/>
      <c r="F775" s="190"/>
      <c r="G775" s="190"/>
      <c r="H775" s="190"/>
      <c r="I775" s="190"/>
      <c r="J775" s="190"/>
      <c r="K775" s="190"/>
      <c r="L775" s="190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 spans="1:26" ht="12.75" customHeight="1">
      <c r="A776" s="190"/>
      <c r="B776" s="190"/>
      <c r="C776" s="190"/>
      <c r="D776" s="190"/>
      <c r="E776" s="190"/>
      <c r="F776" s="190"/>
      <c r="G776" s="190"/>
      <c r="H776" s="190"/>
      <c r="I776" s="190"/>
      <c r="J776" s="190"/>
      <c r="K776" s="190"/>
      <c r="L776" s="190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 spans="1:26" ht="12.75" customHeight="1">
      <c r="A777" s="190"/>
      <c r="B777" s="190"/>
      <c r="C777" s="190"/>
      <c r="D777" s="190"/>
      <c r="E777" s="190"/>
      <c r="F777" s="190"/>
      <c r="G777" s="190"/>
      <c r="H777" s="190"/>
      <c r="I777" s="190"/>
      <c r="J777" s="190"/>
      <c r="K777" s="190"/>
      <c r="L777" s="190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 spans="1:26" ht="12.75" customHeight="1">
      <c r="A778" s="190"/>
      <c r="B778" s="190"/>
      <c r="C778" s="190"/>
      <c r="D778" s="190"/>
      <c r="E778" s="190"/>
      <c r="F778" s="190"/>
      <c r="G778" s="190"/>
      <c r="H778" s="190"/>
      <c r="I778" s="190"/>
      <c r="J778" s="190"/>
      <c r="K778" s="190"/>
      <c r="L778" s="190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 spans="1:26" ht="12.75" customHeight="1">
      <c r="A779" s="190"/>
      <c r="B779" s="190"/>
      <c r="C779" s="190"/>
      <c r="D779" s="190"/>
      <c r="E779" s="190"/>
      <c r="F779" s="190"/>
      <c r="G779" s="190"/>
      <c r="H779" s="190"/>
      <c r="I779" s="190"/>
      <c r="J779" s="190"/>
      <c r="K779" s="190"/>
      <c r="L779" s="190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 spans="1:26" ht="12.75" customHeight="1">
      <c r="A780" s="190"/>
      <c r="B780" s="190"/>
      <c r="C780" s="190"/>
      <c r="D780" s="190"/>
      <c r="E780" s="190"/>
      <c r="F780" s="190"/>
      <c r="G780" s="190"/>
      <c r="H780" s="190"/>
      <c r="I780" s="190"/>
      <c r="J780" s="190"/>
      <c r="K780" s="190"/>
      <c r="L780" s="190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 spans="1:26" ht="12.75" customHeight="1">
      <c r="A781" s="190"/>
      <c r="B781" s="190"/>
      <c r="C781" s="190"/>
      <c r="D781" s="190"/>
      <c r="E781" s="190"/>
      <c r="F781" s="190"/>
      <c r="G781" s="190"/>
      <c r="H781" s="190"/>
      <c r="I781" s="190"/>
      <c r="J781" s="190"/>
      <c r="K781" s="190"/>
      <c r="L781" s="190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 spans="1:26" ht="12.75" customHeight="1">
      <c r="A782" s="190"/>
      <c r="B782" s="190"/>
      <c r="C782" s="190"/>
      <c r="D782" s="190"/>
      <c r="E782" s="190"/>
      <c r="F782" s="190"/>
      <c r="G782" s="190"/>
      <c r="H782" s="190"/>
      <c r="I782" s="190"/>
      <c r="J782" s="190"/>
      <c r="K782" s="190"/>
      <c r="L782" s="190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 spans="1:26" ht="12.75" customHeight="1">
      <c r="A783" s="190"/>
      <c r="B783" s="190"/>
      <c r="C783" s="190"/>
      <c r="D783" s="190"/>
      <c r="E783" s="190"/>
      <c r="F783" s="190"/>
      <c r="G783" s="190"/>
      <c r="H783" s="190"/>
      <c r="I783" s="190"/>
      <c r="J783" s="190"/>
      <c r="K783" s="190"/>
      <c r="L783" s="190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 spans="1:26" ht="12.75" customHeight="1">
      <c r="A784" s="190"/>
      <c r="B784" s="190"/>
      <c r="C784" s="190"/>
      <c r="D784" s="190"/>
      <c r="E784" s="190"/>
      <c r="F784" s="190"/>
      <c r="G784" s="190"/>
      <c r="H784" s="190"/>
      <c r="I784" s="190"/>
      <c r="J784" s="190"/>
      <c r="K784" s="190"/>
      <c r="L784" s="190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 spans="1:26" ht="12.75" customHeight="1">
      <c r="A785" s="190"/>
      <c r="B785" s="190"/>
      <c r="C785" s="190"/>
      <c r="D785" s="190"/>
      <c r="E785" s="190"/>
      <c r="F785" s="190"/>
      <c r="G785" s="190"/>
      <c r="H785" s="190"/>
      <c r="I785" s="190"/>
      <c r="J785" s="190"/>
      <c r="K785" s="190"/>
      <c r="L785" s="190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 spans="1:26" ht="12.75" customHeight="1">
      <c r="A786" s="190"/>
      <c r="B786" s="190"/>
      <c r="C786" s="190"/>
      <c r="D786" s="190"/>
      <c r="E786" s="190"/>
      <c r="F786" s="190"/>
      <c r="G786" s="190"/>
      <c r="H786" s="190"/>
      <c r="I786" s="190"/>
      <c r="J786" s="190"/>
      <c r="K786" s="190"/>
      <c r="L786" s="190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 spans="1:26" ht="12.75" customHeight="1">
      <c r="A787" s="190"/>
      <c r="B787" s="190"/>
      <c r="C787" s="190"/>
      <c r="D787" s="190"/>
      <c r="E787" s="190"/>
      <c r="F787" s="190"/>
      <c r="G787" s="190"/>
      <c r="H787" s="190"/>
      <c r="I787" s="190"/>
      <c r="J787" s="190"/>
      <c r="K787" s="190"/>
      <c r="L787" s="190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 spans="1:26" ht="12.75" customHeight="1">
      <c r="A788" s="190"/>
      <c r="B788" s="190"/>
      <c r="C788" s="190"/>
      <c r="D788" s="190"/>
      <c r="E788" s="190"/>
      <c r="F788" s="190"/>
      <c r="G788" s="190"/>
      <c r="H788" s="190"/>
      <c r="I788" s="190"/>
      <c r="J788" s="190"/>
      <c r="K788" s="190"/>
      <c r="L788" s="190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 spans="1:26" ht="12.75" customHeight="1">
      <c r="A789" s="190"/>
      <c r="B789" s="190"/>
      <c r="C789" s="190"/>
      <c r="D789" s="190"/>
      <c r="E789" s="190"/>
      <c r="F789" s="190"/>
      <c r="G789" s="190"/>
      <c r="H789" s="190"/>
      <c r="I789" s="190"/>
      <c r="J789" s="190"/>
      <c r="K789" s="190"/>
      <c r="L789" s="190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 spans="1:26" ht="12.75" customHeight="1">
      <c r="A790" s="190"/>
      <c r="B790" s="190"/>
      <c r="C790" s="190"/>
      <c r="D790" s="190"/>
      <c r="E790" s="190"/>
      <c r="F790" s="190"/>
      <c r="G790" s="190"/>
      <c r="H790" s="190"/>
      <c r="I790" s="190"/>
      <c r="J790" s="190"/>
      <c r="K790" s="190"/>
      <c r="L790" s="190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 spans="1:26" ht="12.75" customHeight="1">
      <c r="A791" s="190"/>
      <c r="B791" s="190"/>
      <c r="C791" s="190"/>
      <c r="D791" s="190"/>
      <c r="E791" s="190"/>
      <c r="F791" s="190"/>
      <c r="G791" s="190"/>
      <c r="H791" s="190"/>
      <c r="I791" s="190"/>
      <c r="J791" s="190"/>
      <c r="K791" s="190"/>
      <c r="L791" s="190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 spans="1:26" ht="12.75" customHeight="1">
      <c r="A792" s="190"/>
      <c r="B792" s="190"/>
      <c r="C792" s="190"/>
      <c r="D792" s="190"/>
      <c r="E792" s="190"/>
      <c r="F792" s="190"/>
      <c r="G792" s="190"/>
      <c r="H792" s="190"/>
      <c r="I792" s="190"/>
      <c r="J792" s="190"/>
      <c r="K792" s="190"/>
      <c r="L792" s="190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 spans="1:26" ht="12.75" customHeight="1">
      <c r="A793" s="190"/>
      <c r="B793" s="190"/>
      <c r="C793" s="190"/>
      <c r="D793" s="190"/>
      <c r="E793" s="190"/>
      <c r="F793" s="190"/>
      <c r="G793" s="190"/>
      <c r="H793" s="190"/>
      <c r="I793" s="190"/>
      <c r="J793" s="190"/>
      <c r="K793" s="190"/>
      <c r="L793" s="190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 spans="1:26" ht="12.75" customHeight="1">
      <c r="A794" s="190"/>
      <c r="B794" s="190"/>
      <c r="C794" s="190"/>
      <c r="D794" s="190"/>
      <c r="E794" s="190"/>
      <c r="F794" s="190"/>
      <c r="G794" s="190"/>
      <c r="H794" s="190"/>
      <c r="I794" s="190"/>
      <c r="J794" s="190"/>
      <c r="K794" s="190"/>
      <c r="L794" s="190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 spans="1:26" ht="12.75" customHeight="1">
      <c r="A795" s="190"/>
      <c r="B795" s="190"/>
      <c r="C795" s="190"/>
      <c r="D795" s="190"/>
      <c r="E795" s="190"/>
      <c r="F795" s="190"/>
      <c r="G795" s="190"/>
      <c r="H795" s="190"/>
      <c r="I795" s="190"/>
      <c r="J795" s="190"/>
      <c r="K795" s="190"/>
      <c r="L795" s="190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 spans="1:26" ht="12.75" customHeight="1">
      <c r="A796" s="190"/>
      <c r="B796" s="190"/>
      <c r="C796" s="190"/>
      <c r="D796" s="190"/>
      <c r="E796" s="190"/>
      <c r="F796" s="190"/>
      <c r="G796" s="190"/>
      <c r="H796" s="190"/>
      <c r="I796" s="190"/>
      <c r="J796" s="190"/>
      <c r="K796" s="190"/>
      <c r="L796" s="190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 spans="1:26" ht="12.75" customHeight="1">
      <c r="A797" s="190"/>
      <c r="B797" s="190"/>
      <c r="C797" s="190"/>
      <c r="D797" s="190"/>
      <c r="E797" s="190"/>
      <c r="F797" s="190"/>
      <c r="G797" s="190"/>
      <c r="H797" s="190"/>
      <c r="I797" s="190"/>
      <c r="J797" s="190"/>
      <c r="K797" s="190"/>
      <c r="L797" s="190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 spans="1:26" ht="12.75" customHeight="1">
      <c r="A798" s="190"/>
      <c r="B798" s="190"/>
      <c r="C798" s="190"/>
      <c r="D798" s="190"/>
      <c r="E798" s="190"/>
      <c r="F798" s="190"/>
      <c r="G798" s="190"/>
      <c r="H798" s="190"/>
      <c r="I798" s="190"/>
      <c r="J798" s="190"/>
      <c r="K798" s="190"/>
      <c r="L798" s="190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 spans="1:26" ht="12.75" customHeight="1">
      <c r="A799" s="190"/>
      <c r="B799" s="190"/>
      <c r="C799" s="190"/>
      <c r="D799" s="190"/>
      <c r="E799" s="190"/>
      <c r="F799" s="190"/>
      <c r="G799" s="190"/>
      <c r="H799" s="190"/>
      <c r="I799" s="190"/>
      <c r="J799" s="190"/>
      <c r="K799" s="190"/>
      <c r="L799" s="190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 spans="1:26" ht="12.75" customHeight="1">
      <c r="A800" s="190"/>
      <c r="B800" s="190"/>
      <c r="C800" s="190"/>
      <c r="D800" s="190"/>
      <c r="E800" s="190"/>
      <c r="F800" s="190"/>
      <c r="G800" s="190"/>
      <c r="H800" s="190"/>
      <c r="I800" s="190"/>
      <c r="J800" s="190"/>
      <c r="K800" s="190"/>
      <c r="L800" s="190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 spans="1:26" ht="12.75" customHeight="1">
      <c r="A801" s="190"/>
      <c r="B801" s="190"/>
      <c r="C801" s="190"/>
      <c r="D801" s="190"/>
      <c r="E801" s="190"/>
      <c r="F801" s="190"/>
      <c r="G801" s="190"/>
      <c r="H801" s="190"/>
      <c r="I801" s="190"/>
      <c r="J801" s="190"/>
      <c r="K801" s="190"/>
      <c r="L801" s="190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 spans="1:26" ht="12.75" customHeight="1">
      <c r="A802" s="190"/>
      <c r="B802" s="190"/>
      <c r="C802" s="190"/>
      <c r="D802" s="190"/>
      <c r="E802" s="190"/>
      <c r="F802" s="190"/>
      <c r="G802" s="190"/>
      <c r="H802" s="190"/>
      <c r="I802" s="190"/>
      <c r="J802" s="190"/>
      <c r="K802" s="190"/>
      <c r="L802" s="190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 spans="1:26" ht="12.75" customHeight="1">
      <c r="A803" s="190"/>
      <c r="B803" s="190"/>
      <c r="C803" s="190"/>
      <c r="D803" s="190"/>
      <c r="E803" s="190"/>
      <c r="F803" s="190"/>
      <c r="G803" s="190"/>
      <c r="H803" s="190"/>
      <c r="I803" s="190"/>
      <c r="J803" s="190"/>
      <c r="K803" s="190"/>
      <c r="L803" s="190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 spans="1:26" ht="12.75" customHeight="1">
      <c r="A804" s="190"/>
      <c r="B804" s="190"/>
      <c r="C804" s="190"/>
      <c r="D804" s="190"/>
      <c r="E804" s="190"/>
      <c r="F804" s="190"/>
      <c r="G804" s="190"/>
      <c r="H804" s="190"/>
      <c r="I804" s="190"/>
      <c r="J804" s="190"/>
      <c r="K804" s="190"/>
      <c r="L804" s="190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 spans="1:26" ht="12.75" customHeight="1">
      <c r="A805" s="190"/>
      <c r="B805" s="190"/>
      <c r="C805" s="190"/>
      <c r="D805" s="190"/>
      <c r="E805" s="190"/>
      <c r="F805" s="190"/>
      <c r="G805" s="190"/>
      <c r="H805" s="190"/>
      <c r="I805" s="190"/>
      <c r="J805" s="190"/>
      <c r="K805" s="190"/>
      <c r="L805" s="190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 spans="1:26" ht="12.75" customHeight="1">
      <c r="A806" s="190"/>
      <c r="B806" s="190"/>
      <c r="C806" s="190"/>
      <c r="D806" s="190"/>
      <c r="E806" s="190"/>
      <c r="F806" s="190"/>
      <c r="G806" s="190"/>
      <c r="H806" s="190"/>
      <c r="I806" s="190"/>
      <c r="J806" s="190"/>
      <c r="K806" s="190"/>
      <c r="L806" s="190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 spans="1:26" ht="12.75" customHeight="1">
      <c r="A807" s="190"/>
      <c r="B807" s="190"/>
      <c r="C807" s="190"/>
      <c r="D807" s="190"/>
      <c r="E807" s="190"/>
      <c r="F807" s="190"/>
      <c r="G807" s="190"/>
      <c r="H807" s="190"/>
      <c r="I807" s="190"/>
      <c r="J807" s="190"/>
      <c r="K807" s="190"/>
      <c r="L807" s="190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 spans="1:26" ht="12.75" customHeight="1">
      <c r="A808" s="190"/>
      <c r="B808" s="190"/>
      <c r="C808" s="190"/>
      <c r="D808" s="190"/>
      <c r="E808" s="190"/>
      <c r="F808" s="190"/>
      <c r="G808" s="190"/>
      <c r="H808" s="190"/>
      <c r="I808" s="190"/>
      <c r="J808" s="190"/>
      <c r="K808" s="190"/>
      <c r="L808" s="190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 spans="1:26" ht="12.75" customHeight="1">
      <c r="A809" s="190"/>
      <c r="B809" s="190"/>
      <c r="C809" s="190"/>
      <c r="D809" s="190"/>
      <c r="E809" s="190"/>
      <c r="F809" s="190"/>
      <c r="G809" s="190"/>
      <c r="H809" s="190"/>
      <c r="I809" s="190"/>
      <c r="J809" s="190"/>
      <c r="K809" s="190"/>
      <c r="L809" s="190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 spans="1:26" ht="12.75" customHeight="1">
      <c r="A810" s="190"/>
      <c r="B810" s="190"/>
      <c r="C810" s="190"/>
      <c r="D810" s="190"/>
      <c r="E810" s="190"/>
      <c r="F810" s="190"/>
      <c r="G810" s="190"/>
      <c r="H810" s="190"/>
      <c r="I810" s="190"/>
      <c r="J810" s="190"/>
      <c r="K810" s="190"/>
      <c r="L810" s="190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 spans="1:26" ht="12.75" customHeight="1">
      <c r="A811" s="190"/>
      <c r="B811" s="190"/>
      <c r="C811" s="190"/>
      <c r="D811" s="190"/>
      <c r="E811" s="190"/>
      <c r="F811" s="190"/>
      <c r="G811" s="190"/>
      <c r="H811" s="190"/>
      <c r="I811" s="190"/>
      <c r="J811" s="190"/>
      <c r="K811" s="190"/>
      <c r="L811" s="190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 spans="1:26" ht="12.75" customHeight="1">
      <c r="A812" s="190"/>
      <c r="B812" s="190"/>
      <c r="C812" s="190"/>
      <c r="D812" s="190"/>
      <c r="E812" s="190"/>
      <c r="F812" s="190"/>
      <c r="G812" s="190"/>
      <c r="H812" s="190"/>
      <c r="I812" s="190"/>
      <c r="J812" s="190"/>
      <c r="K812" s="190"/>
      <c r="L812" s="190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 spans="1:26" ht="12.75" customHeight="1">
      <c r="A813" s="190"/>
      <c r="B813" s="190"/>
      <c r="C813" s="190"/>
      <c r="D813" s="190"/>
      <c r="E813" s="190"/>
      <c r="F813" s="190"/>
      <c r="G813" s="190"/>
      <c r="H813" s="190"/>
      <c r="I813" s="190"/>
      <c r="J813" s="190"/>
      <c r="K813" s="190"/>
      <c r="L813" s="190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 spans="1:26" ht="12.75" customHeight="1">
      <c r="A814" s="190"/>
      <c r="B814" s="190"/>
      <c r="C814" s="190"/>
      <c r="D814" s="190"/>
      <c r="E814" s="190"/>
      <c r="F814" s="190"/>
      <c r="G814" s="190"/>
      <c r="H814" s="190"/>
      <c r="I814" s="190"/>
      <c r="J814" s="190"/>
      <c r="K814" s="190"/>
      <c r="L814" s="190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 spans="1:26" ht="12.75" customHeight="1">
      <c r="A815" s="190"/>
      <c r="B815" s="190"/>
      <c r="C815" s="190"/>
      <c r="D815" s="190"/>
      <c r="E815" s="190"/>
      <c r="F815" s="190"/>
      <c r="G815" s="190"/>
      <c r="H815" s="190"/>
      <c r="I815" s="190"/>
      <c r="J815" s="190"/>
      <c r="K815" s="190"/>
      <c r="L815" s="190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 spans="1:26" ht="12.75" customHeight="1">
      <c r="A816" s="190"/>
      <c r="B816" s="190"/>
      <c r="C816" s="190"/>
      <c r="D816" s="190"/>
      <c r="E816" s="190"/>
      <c r="F816" s="190"/>
      <c r="G816" s="190"/>
      <c r="H816" s="190"/>
      <c r="I816" s="190"/>
      <c r="J816" s="190"/>
      <c r="K816" s="190"/>
      <c r="L816" s="190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 spans="1:26" ht="12.75" customHeight="1">
      <c r="A817" s="190"/>
      <c r="B817" s="190"/>
      <c r="C817" s="190"/>
      <c r="D817" s="190"/>
      <c r="E817" s="190"/>
      <c r="F817" s="190"/>
      <c r="G817" s="190"/>
      <c r="H817" s="190"/>
      <c r="I817" s="190"/>
      <c r="J817" s="190"/>
      <c r="K817" s="190"/>
      <c r="L817" s="190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 spans="1:26" ht="12.75" customHeight="1">
      <c r="A818" s="190"/>
      <c r="B818" s="190"/>
      <c r="C818" s="190"/>
      <c r="D818" s="190"/>
      <c r="E818" s="190"/>
      <c r="F818" s="190"/>
      <c r="G818" s="190"/>
      <c r="H818" s="190"/>
      <c r="I818" s="190"/>
      <c r="J818" s="190"/>
      <c r="K818" s="190"/>
      <c r="L818" s="190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 spans="1:26" ht="12.75" customHeight="1">
      <c r="A819" s="190"/>
      <c r="B819" s="190"/>
      <c r="C819" s="190"/>
      <c r="D819" s="190"/>
      <c r="E819" s="190"/>
      <c r="F819" s="190"/>
      <c r="G819" s="190"/>
      <c r="H819" s="190"/>
      <c r="I819" s="190"/>
      <c r="J819" s="190"/>
      <c r="K819" s="190"/>
      <c r="L819" s="190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 spans="1:26" ht="12.75" customHeight="1">
      <c r="A820" s="190"/>
      <c r="B820" s="190"/>
      <c r="C820" s="190"/>
      <c r="D820" s="190"/>
      <c r="E820" s="190"/>
      <c r="F820" s="190"/>
      <c r="G820" s="190"/>
      <c r="H820" s="190"/>
      <c r="I820" s="190"/>
      <c r="J820" s="190"/>
      <c r="K820" s="190"/>
      <c r="L820" s="190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 spans="1:26" ht="12.75" customHeight="1">
      <c r="A821" s="190"/>
      <c r="B821" s="190"/>
      <c r="C821" s="190"/>
      <c r="D821" s="190"/>
      <c r="E821" s="190"/>
      <c r="F821" s="190"/>
      <c r="G821" s="190"/>
      <c r="H821" s="190"/>
      <c r="I821" s="190"/>
      <c r="J821" s="190"/>
      <c r="K821" s="190"/>
      <c r="L821" s="190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 spans="1:26" ht="12.75" customHeight="1">
      <c r="A822" s="190"/>
      <c r="B822" s="190"/>
      <c r="C822" s="190"/>
      <c r="D822" s="190"/>
      <c r="E822" s="190"/>
      <c r="F822" s="190"/>
      <c r="G822" s="190"/>
      <c r="H822" s="190"/>
      <c r="I822" s="190"/>
      <c r="J822" s="190"/>
      <c r="K822" s="190"/>
      <c r="L822" s="190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 spans="1:26" ht="12.75" customHeight="1">
      <c r="A823" s="190"/>
      <c r="B823" s="190"/>
      <c r="C823" s="190"/>
      <c r="D823" s="190"/>
      <c r="E823" s="190"/>
      <c r="F823" s="190"/>
      <c r="G823" s="190"/>
      <c r="H823" s="190"/>
      <c r="I823" s="190"/>
      <c r="J823" s="190"/>
      <c r="K823" s="190"/>
      <c r="L823" s="190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 spans="1:26" ht="12.75" customHeight="1">
      <c r="A824" s="190"/>
      <c r="B824" s="190"/>
      <c r="C824" s="190"/>
      <c r="D824" s="190"/>
      <c r="E824" s="190"/>
      <c r="F824" s="190"/>
      <c r="G824" s="190"/>
      <c r="H824" s="190"/>
      <c r="I824" s="190"/>
      <c r="J824" s="190"/>
      <c r="K824" s="190"/>
      <c r="L824" s="190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 spans="1:26" ht="12.75" customHeight="1">
      <c r="A825" s="190"/>
      <c r="B825" s="190"/>
      <c r="C825" s="190"/>
      <c r="D825" s="190"/>
      <c r="E825" s="190"/>
      <c r="F825" s="190"/>
      <c r="G825" s="190"/>
      <c r="H825" s="190"/>
      <c r="I825" s="190"/>
      <c r="J825" s="190"/>
      <c r="K825" s="190"/>
      <c r="L825" s="190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 spans="1:26" ht="12.75" customHeight="1">
      <c r="A826" s="190"/>
      <c r="B826" s="190"/>
      <c r="C826" s="190"/>
      <c r="D826" s="190"/>
      <c r="E826" s="190"/>
      <c r="F826" s="190"/>
      <c r="G826" s="190"/>
      <c r="H826" s="190"/>
      <c r="I826" s="190"/>
      <c r="J826" s="190"/>
      <c r="K826" s="190"/>
      <c r="L826" s="190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 spans="1:26" ht="12.75" customHeight="1">
      <c r="A827" s="190"/>
      <c r="B827" s="190"/>
      <c r="C827" s="190"/>
      <c r="D827" s="190"/>
      <c r="E827" s="190"/>
      <c r="F827" s="190"/>
      <c r="G827" s="190"/>
      <c r="H827" s="190"/>
      <c r="I827" s="190"/>
      <c r="J827" s="190"/>
      <c r="K827" s="190"/>
      <c r="L827" s="190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 spans="1:26" ht="12.75" customHeight="1">
      <c r="A828" s="190"/>
      <c r="B828" s="190"/>
      <c r="C828" s="190"/>
      <c r="D828" s="190"/>
      <c r="E828" s="190"/>
      <c r="F828" s="190"/>
      <c r="G828" s="190"/>
      <c r="H828" s="190"/>
      <c r="I828" s="190"/>
      <c r="J828" s="190"/>
      <c r="K828" s="190"/>
      <c r="L828" s="190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 spans="1:26" ht="12.75" customHeight="1">
      <c r="A829" s="190"/>
      <c r="B829" s="190"/>
      <c r="C829" s="190"/>
      <c r="D829" s="190"/>
      <c r="E829" s="190"/>
      <c r="F829" s="190"/>
      <c r="G829" s="190"/>
      <c r="H829" s="190"/>
      <c r="I829" s="190"/>
      <c r="J829" s="190"/>
      <c r="K829" s="190"/>
      <c r="L829" s="190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 spans="1:26" ht="12.75" customHeight="1">
      <c r="A830" s="190"/>
      <c r="B830" s="190"/>
      <c r="C830" s="190"/>
      <c r="D830" s="190"/>
      <c r="E830" s="190"/>
      <c r="F830" s="190"/>
      <c r="G830" s="190"/>
      <c r="H830" s="190"/>
      <c r="I830" s="190"/>
      <c r="J830" s="190"/>
      <c r="K830" s="190"/>
      <c r="L830" s="190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 spans="1:26" ht="12.75" customHeight="1">
      <c r="A831" s="190"/>
      <c r="B831" s="190"/>
      <c r="C831" s="190"/>
      <c r="D831" s="190"/>
      <c r="E831" s="190"/>
      <c r="F831" s="190"/>
      <c r="G831" s="190"/>
      <c r="H831" s="190"/>
      <c r="I831" s="190"/>
      <c r="J831" s="190"/>
      <c r="K831" s="190"/>
      <c r="L831" s="190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 spans="1:26" ht="12.75" customHeight="1">
      <c r="A832" s="190"/>
      <c r="B832" s="190"/>
      <c r="C832" s="190"/>
      <c r="D832" s="190"/>
      <c r="E832" s="190"/>
      <c r="F832" s="190"/>
      <c r="G832" s="190"/>
      <c r="H832" s="190"/>
      <c r="I832" s="190"/>
      <c r="J832" s="190"/>
      <c r="K832" s="190"/>
      <c r="L832" s="190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 spans="1:26" ht="12.75" customHeight="1">
      <c r="A833" s="190"/>
      <c r="B833" s="190"/>
      <c r="C833" s="190"/>
      <c r="D833" s="190"/>
      <c r="E833" s="190"/>
      <c r="F833" s="190"/>
      <c r="G833" s="190"/>
      <c r="H833" s="190"/>
      <c r="I833" s="190"/>
      <c r="J833" s="190"/>
      <c r="K833" s="190"/>
      <c r="L833" s="190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 spans="1:26" ht="12.75" customHeight="1">
      <c r="A834" s="190"/>
      <c r="B834" s="190"/>
      <c r="C834" s="190"/>
      <c r="D834" s="190"/>
      <c r="E834" s="190"/>
      <c r="F834" s="190"/>
      <c r="G834" s="190"/>
      <c r="H834" s="190"/>
      <c r="I834" s="190"/>
      <c r="J834" s="190"/>
      <c r="K834" s="190"/>
      <c r="L834" s="190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 spans="1:26" ht="12.75" customHeight="1">
      <c r="A835" s="190"/>
      <c r="B835" s="190"/>
      <c r="C835" s="190"/>
      <c r="D835" s="190"/>
      <c r="E835" s="190"/>
      <c r="F835" s="190"/>
      <c r="G835" s="190"/>
      <c r="H835" s="190"/>
      <c r="I835" s="190"/>
      <c r="J835" s="190"/>
      <c r="K835" s="190"/>
      <c r="L835" s="190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 spans="1:26" ht="12.75" customHeight="1">
      <c r="A836" s="190"/>
      <c r="B836" s="190"/>
      <c r="C836" s="190"/>
      <c r="D836" s="190"/>
      <c r="E836" s="190"/>
      <c r="F836" s="190"/>
      <c r="G836" s="190"/>
      <c r="H836" s="190"/>
      <c r="I836" s="190"/>
      <c r="J836" s="190"/>
      <c r="K836" s="190"/>
      <c r="L836" s="190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 spans="1:26" ht="12.75" customHeight="1">
      <c r="A837" s="190"/>
      <c r="B837" s="190"/>
      <c r="C837" s="190"/>
      <c r="D837" s="190"/>
      <c r="E837" s="190"/>
      <c r="F837" s="190"/>
      <c r="G837" s="190"/>
      <c r="H837" s="190"/>
      <c r="I837" s="190"/>
      <c r="J837" s="190"/>
      <c r="K837" s="190"/>
      <c r="L837" s="190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 spans="1:26" ht="12.75" customHeight="1">
      <c r="A838" s="190"/>
      <c r="B838" s="190"/>
      <c r="C838" s="190"/>
      <c r="D838" s="190"/>
      <c r="E838" s="190"/>
      <c r="F838" s="190"/>
      <c r="G838" s="190"/>
      <c r="H838" s="190"/>
      <c r="I838" s="190"/>
      <c r="J838" s="190"/>
      <c r="K838" s="190"/>
      <c r="L838" s="190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 spans="1:26" ht="12.75" customHeight="1">
      <c r="A839" s="190"/>
      <c r="B839" s="190"/>
      <c r="C839" s="190"/>
      <c r="D839" s="190"/>
      <c r="E839" s="190"/>
      <c r="F839" s="190"/>
      <c r="G839" s="190"/>
      <c r="H839" s="190"/>
      <c r="I839" s="190"/>
      <c r="J839" s="190"/>
      <c r="K839" s="190"/>
      <c r="L839" s="190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 spans="1:26" ht="12.75" customHeight="1">
      <c r="A840" s="190"/>
      <c r="B840" s="190"/>
      <c r="C840" s="190"/>
      <c r="D840" s="190"/>
      <c r="E840" s="190"/>
      <c r="F840" s="190"/>
      <c r="G840" s="190"/>
      <c r="H840" s="190"/>
      <c r="I840" s="190"/>
      <c r="J840" s="190"/>
      <c r="K840" s="190"/>
      <c r="L840" s="190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 spans="1:26" ht="12.75" customHeight="1">
      <c r="A841" s="190"/>
      <c r="B841" s="190"/>
      <c r="C841" s="190"/>
      <c r="D841" s="190"/>
      <c r="E841" s="190"/>
      <c r="F841" s="190"/>
      <c r="G841" s="190"/>
      <c r="H841" s="190"/>
      <c r="I841" s="190"/>
      <c r="J841" s="190"/>
      <c r="K841" s="190"/>
      <c r="L841" s="190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 spans="1:26" ht="12.75" customHeight="1">
      <c r="A842" s="190"/>
      <c r="B842" s="190"/>
      <c r="C842" s="190"/>
      <c r="D842" s="190"/>
      <c r="E842" s="190"/>
      <c r="F842" s="190"/>
      <c r="G842" s="190"/>
      <c r="H842" s="190"/>
      <c r="I842" s="190"/>
      <c r="J842" s="190"/>
      <c r="K842" s="190"/>
      <c r="L842" s="190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 spans="1:26" ht="12.75" customHeight="1">
      <c r="A843" s="190"/>
      <c r="B843" s="190"/>
      <c r="C843" s="190"/>
      <c r="D843" s="190"/>
      <c r="E843" s="190"/>
      <c r="F843" s="190"/>
      <c r="G843" s="190"/>
      <c r="H843" s="190"/>
      <c r="I843" s="190"/>
      <c r="J843" s="190"/>
      <c r="K843" s="190"/>
      <c r="L843" s="190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 spans="1:26" ht="12.75" customHeight="1">
      <c r="A844" s="190"/>
      <c r="B844" s="190"/>
      <c r="C844" s="190"/>
      <c r="D844" s="190"/>
      <c r="E844" s="190"/>
      <c r="F844" s="190"/>
      <c r="G844" s="190"/>
      <c r="H844" s="190"/>
      <c r="I844" s="190"/>
      <c r="J844" s="190"/>
      <c r="K844" s="190"/>
      <c r="L844" s="190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 spans="1:26" ht="12.75" customHeight="1">
      <c r="A845" s="190"/>
      <c r="B845" s="190"/>
      <c r="C845" s="190"/>
      <c r="D845" s="190"/>
      <c r="E845" s="190"/>
      <c r="F845" s="190"/>
      <c r="G845" s="190"/>
      <c r="H845" s="190"/>
      <c r="I845" s="190"/>
      <c r="J845" s="190"/>
      <c r="K845" s="190"/>
      <c r="L845" s="190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 spans="1:26" ht="12.75" customHeight="1">
      <c r="A846" s="190"/>
      <c r="B846" s="190"/>
      <c r="C846" s="190"/>
      <c r="D846" s="190"/>
      <c r="E846" s="190"/>
      <c r="F846" s="190"/>
      <c r="G846" s="190"/>
      <c r="H846" s="190"/>
      <c r="I846" s="190"/>
      <c r="J846" s="190"/>
      <c r="K846" s="190"/>
      <c r="L846" s="190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 spans="1:26" ht="12.75" customHeight="1">
      <c r="A847" s="190"/>
      <c r="B847" s="190"/>
      <c r="C847" s="190"/>
      <c r="D847" s="190"/>
      <c r="E847" s="190"/>
      <c r="F847" s="190"/>
      <c r="G847" s="190"/>
      <c r="H847" s="190"/>
      <c r="I847" s="190"/>
      <c r="J847" s="190"/>
      <c r="K847" s="190"/>
      <c r="L847" s="190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 spans="1:26" ht="12.75" customHeight="1">
      <c r="A848" s="190"/>
      <c r="B848" s="190"/>
      <c r="C848" s="190"/>
      <c r="D848" s="190"/>
      <c r="E848" s="190"/>
      <c r="F848" s="190"/>
      <c r="G848" s="190"/>
      <c r="H848" s="190"/>
      <c r="I848" s="190"/>
      <c r="J848" s="190"/>
      <c r="K848" s="190"/>
      <c r="L848" s="190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 spans="1:26" ht="12.75" customHeight="1">
      <c r="A849" s="190"/>
      <c r="B849" s="190"/>
      <c r="C849" s="190"/>
      <c r="D849" s="190"/>
      <c r="E849" s="190"/>
      <c r="F849" s="190"/>
      <c r="G849" s="190"/>
      <c r="H849" s="190"/>
      <c r="I849" s="190"/>
      <c r="J849" s="190"/>
      <c r="K849" s="190"/>
      <c r="L849" s="190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 spans="1:26" ht="12.75" customHeight="1">
      <c r="A850" s="190"/>
      <c r="B850" s="190"/>
      <c r="C850" s="190"/>
      <c r="D850" s="190"/>
      <c r="E850" s="190"/>
      <c r="F850" s="190"/>
      <c r="G850" s="190"/>
      <c r="H850" s="190"/>
      <c r="I850" s="190"/>
      <c r="J850" s="190"/>
      <c r="K850" s="190"/>
      <c r="L850" s="190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 spans="1:26" ht="12.75" customHeight="1">
      <c r="A851" s="190"/>
      <c r="B851" s="190"/>
      <c r="C851" s="190"/>
      <c r="D851" s="190"/>
      <c r="E851" s="190"/>
      <c r="F851" s="190"/>
      <c r="G851" s="190"/>
      <c r="H851" s="190"/>
      <c r="I851" s="190"/>
      <c r="J851" s="190"/>
      <c r="K851" s="190"/>
      <c r="L851" s="190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 spans="1:26" ht="12.75" customHeight="1">
      <c r="A852" s="190"/>
      <c r="B852" s="190"/>
      <c r="C852" s="190"/>
      <c r="D852" s="190"/>
      <c r="E852" s="190"/>
      <c r="F852" s="190"/>
      <c r="G852" s="190"/>
      <c r="H852" s="190"/>
      <c r="I852" s="190"/>
      <c r="J852" s="190"/>
      <c r="K852" s="190"/>
      <c r="L852" s="190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 spans="1:26" ht="12.75" customHeight="1">
      <c r="A853" s="190"/>
      <c r="B853" s="190"/>
      <c r="C853" s="190"/>
      <c r="D853" s="190"/>
      <c r="E853" s="190"/>
      <c r="F853" s="190"/>
      <c r="G853" s="190"/>
      <c r="H853" s="190"/>
      <c r="I853" s="190"/>
      <c r="J853" s="190"/>
      <c r="K853" s="190"/>
      <c r="L853" s="190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 spans="1:26" ht="12.75" customHeight="1">
      <c r="A854" s="190"/>
      <c r="B854" s="190"/>
      <c r="C854" s="190"/>
      <c r="D854" s="190"/>
      <c r="E854" s="190"/>
      <c r="F854" s="190"/>
      <c r="G854" s="190"/>
      <c r="H854" s="190"/>
      <c r="I854" s="190"/>
      <c r="J854" s="190"/>
      <c r="K854" s="190"/>
      <c r="L854" s="190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 spans="1:26" ht="12.75" customHeight="1">
      <c r="A855" s="190"/>
      <c r="B855" s="190"/>
      <c r="C855" s="190"/>
      <c r="D855" s="190"/>
      <c r="E855" s="190"/>
      <c r="F855" s="190"/>
      <c r="G855" s="190"/>
      <c r="H855" s="190"/>
      <c r="I855" s="190"/>
      <c r="J855" s="190"/>
      <c r="K855" s="190"/>
      <c r="L855" s="190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 spans="1:26" ht="12.75" customHeight="1">
      <c r="A856" s="190"/>
      <c r="B856" s="190"/>
      <c r="C856" s="190"/>
      <c r="D856" s="190"/>
      <c r="E856" s="190"/>
      <c r="F856" s="190"/>
      <c r="G856" s="190"/>
      <c r="H856" s="190"/>
      <c r="I856" s="190"/>
      <c r="J856" s="190"/>
      <c r="K856" s="190"/>
      <c r="L856" s="190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 spans="1:26" ht="12.75" customHeight="1">
      <c r="A857" s="190"/>
      <c r="B857" s="190"/>
      <c r="C857" s="190"/>
      <c r="D857" s="190"/>
      <c r="E857" s="190"/>
      <c r="F857" s="190"/>
      <c r="G857" s="190"/>
      <c r="H857" s="190"/>
      <c r="I857" s="190"/>
      <c r="J857" s="190"/>
      <c r="K857" s="190"/>
      <c r="L857" s="190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 spans="1:26" ht="12.75" customHeight="1">
      <c r="A858" s="190"/>
      <c r="B858" s="190"/>
      <c r="C858" s="190"/>
      <c r="D858" s="190"/>
      <c r="E858" s="190"/>
      <c r="F858" s="190"/>
      <c r="G858" s="190"/>
      <c r="H858" s="190"/>
      <c r="I858" s="190"/>
      <c r="J858" s="190"/>
      <c r="K858" s="190"/>
      <c r="L858" s="190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 spans="1:26" ht="12.75" customHeight="1">
      <c r="A859" s="190"/>
      <c r="B859" s="190"/>
      <c r="C859" s="190"/>
      <c r="D859" s="190"/>
      <c r="E859" s="190"/>
      <c r="F859" s="190"/>
      <c r="G859" s="190"/>
      <c r="H859" s="190"/>
      <c r="I859" s="190"/>
      <c r="J859" s="190"/>
      <c r="K859" s="190"/>
      <c r="L859" s="190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 spans="1:26" ht="12.75" customHeight="1">
      <c r="A860" s="190"/>
      <c r="B860" s="190"/>
      <c r="C860" s="190"/>
      <c r="D860" s="190"/>
      <c r="E860" s="190"/>
      <c r="F860" s="190"/>
      <c r="G860" s="190"/>
      <c r="H860" s="190"/>
      <c r="I860" s="190"/>
      <c r="J860" s="190"/>
      <c r="K860" s="190"/>
      <c r="L860" s="190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 spans="1:26" ht="12.75" customHeight="1">
      <c r="A861" s="190"/>
      <c r="B861" s="190"/>
      <c r="C861" s="190"/>
      <c r="D861" s="190"/>
      <c r="E861" s="190"/>
      <c r="F861" s="190"/>
      <c r="G861" s="190"/>
      <c r="H861" s="190"/>
      <c r="I861" s="190"/>
      <c r="J861" s="190"/>
      <c r="K861" s="190"/>
      <c r="L861" s="190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 spans="1:26" ht="12.75" customHeight="1">
      <c r="A862" s="190"/>
      <c r="B862" s="190"/>
      <c r="C862" s="190"/>
      <c r="D862" s="190"/>
      <c r="E862" s="190"/>
      <c r="F862" s="190"/>
      <c r="G862" s="190"/>
      <c r="H862" s="190"/>
      <c r="I862" s="190"/>
      <c r="J862" s="190"/>
      <c r="K862" s="190"/>
      <c r="L862" s="190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 spans="1:26" ht="12.75" customHeight="1">
      <c r="A863" s="190"/>
      <c r="B863" s="190"/>
      <c r="C863" s="190"/>
      <c r="D863" s="190"/>
      <c r="E863" s="190"/>
      <c r="F863" s="190"/>
      <c r="G863" s="190"/>
      <c r="H863" s="190"/>
      <c r="I863" s="190"/>
      <c r="J863" s="190"/>
      <c r="K863" s="190"/>
      <c r="L863" s="190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 spans="1:26" ht="12.75" customHeight="1">
      <c r="A864" s="190"/>
      <c r="B864" s="190"/>
      <c r="C864" s="190"/>
      <c r="D864" s="190"/>
      <c r="E864" s="190"/>
      <c r="F864" s="190"/>
      <c r="G864" s="190"/>
      <c r="H864" s="190"/>
      <c r="I864" s="190"/>
      <c r="J864" s="190"/>
      <c r="K864" s="190"/>
      <c r="L864" s="190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 spans="1:26" ht="12.75" customHeight="1">
      <c r="A865" s="190"/>
      <c r="B865" s="190"/>
      <c r="C865" s="190"/>
      <c r="D865" s="190"/>
      <c r="E865" s="190"/>
      <c r="F865" s="190"/>
      <c r="G865" s="190"/>
      <c r="H865" s="190"/>
      <c r="I865" s="190"/>
      <c r="J865" s="190"/>
      <c r="K865" s="190"/>
      <c r="L865" s="190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 spans="1:26" ht="12.75" customHeight="1">
      <c r="A866" s="190"/>
      <c r="B866" s="190"/>
      <c r="C866" s="190"/>
      <c r="D866" s="190"/>
      <c r="E866" s="190"/>
      <c r="F866" s="190"/>
      <c r="G866" s="190"/>
      <c r="H866" s="190"/>
      <c r="I866" s="190"/>
      <c r="J866" s="190"/>
      <c r="K866" s="190"/>
      <c r="L866" s="190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 spans="1:26" ht="12.75" customHeight="1">
      <c r="A867" s="190"/>
      <c r="B867" s="190"/>
      <c r="C867" s="190"/>
      <c r="D867" s="190"/>
      <c r="E867" s="190"/>
      <c r="F867" s="190"/>
      <c r="G867" s="190"/>
      <c r="H867" s="190"/>
      <c r="I867" s="190"/>
      <c r="J867" s="190"/>
      <c r="K867" s="190"/>
      <c r="L867" s="190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 spans="1:26" ht="12.75" customHeight="1">
      <c r="A868" s="190"/>
      <c r="B868" s="190"/>
      <c r="C868" s="190"/>
      <c r="D868" s="190"/>
      <c r="E868" s="190"/>
      <c r="F868" s="190"/>
      <c r="G868" s="190"/>
      <c r="H868" s="190"/>
      <c r="I868" s="190"/>
      <c r="J868" s="190"/>
      <c r="K868" s="190"/>
      <c r="L868" s="190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 spans="1:26" ht="12.75" customHeight="1">
      <c r="A869" s="190"/>
      <c r="B869" s="190"/>
      <c r="C869" s="190"/>
      <c r="D869" s="190"/>
      <c r="E869" s="190"/>
      <c r="F869" s="190"/>
      <c r="G869" s="190"/>
      <c r="H869" s="190"/>
      <c r="I869" s="190"/>
      <c r="J869" s="190"/>
      <c r="K869" s="190"/>
      <c r="L869" s="190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 spans="1:26" ht="12.75" customHeight="1">
      <c r="A870" s="190"/>
      <c r="B870" s="190"/>
      <c r="C870" s="190"/>
      <c r="D870" s="190"/>
      <c r="E870" s="190"/>
      <c r="F870" s="190"/>
      <c r="G870" s="190"/>
      <c r="H870" s="190"/>
      <c r="I870" s="190"/>
      <c r="J870" s="190"/>
      <c r="K870" s="190"/>
      <c r="L870" s="190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 spans="1:26" ht="12.75" customHeight="1">
      <c r="A871" s="190"/>
      <c r="B871" s="190"/>
      <c r="C871" s="190"/>
      <c r="D871" s="190"/>
      <c r="E871" s="190"/>
      <c r="F871" s="190"/>
      <c r="G871" s="190"/>
      <c r="H871" s="190"/>
      <c r="I871" s="190"/>
      <c r="J871" s="190"/>
      <c r="K871" s="190"/>
      <c r="L871" s="190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 spans="1:26" ht="12.75" customHeight="1">
      <c r="A872" s="190"/>
      <c r="B872" s="190"/>
      <c r="C872" s="190"/>
      <c r="D872" s="190"/>
      <c r="E872" s="190"/>
      <c r="F872" s="190"/>
      <c r="G872" s="190"/>
      <c r="H872" s="190"/>
      <c r="I872" s="190"/>
      <c r="J872" s="190"/>
      <c r="K872" s="190"/>
      <c r="L872" s="190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 spans="1:26" ht="12.75" customHeight="1">
      <c r="A873" s="190"/>
      <c r="B873" s="190"/>
      <c r="C873" s="190"/>
      <c r="D873" s="190"/>
      <c r="E873" s="190"/>
      <c r="F873" s="190"/>
      <c r="G873" s="190"/>
      <c r="H873" s="190"/>
      <c r="I873" s="190"/>
      <c r="J873" s="190"/>
      <c r="K873" s="190"/>
      <c r="L873" s="190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 spans="1:26" ht="12.75" customHeight="1">
      <c r="A874" s="190"/>
      <c r="B874" s="190"/>
      <c r="C874" s="190"/>
      <c r="D874" s="190"/>
      <c r="E874" s="190"/>
      <c r="F874" s="190"/>
      <c r="G874" s="190"/>
      <c r="H874" s="190"/>
      <c r="I874" s="190"/>
      <c r="J874" s="190"/>
      <c r="K874" s="190"/>
      <c r="L874" s="190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 spans="1:26" ht="12.75" customHeight="1">
      <c r="A875" s="190"/>
      <c r="B875" s="190"/>
      <c r="C875" s="190"/>
      <c r="D875" s="190"/>
      <c r="E875" s="190"/>
      <c r="F875" s="190"/>
      <c r="G875" s="190"/>
      <c r="H875" s="190"/>
      <c r="I875" s="190"/>
      <c r="J875" s="190"/>
      <c r="K875" s="190"/>
      <c r="L875" s="190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 spans="1:26" ht="12.75" customHeight="1">
      <c r="A876" s="190"/>
      <c r="B876" s="190"/>
      <c r="C876" s="190"/>
      <c r="D876" s="190"/>
      <c r="E876" s="190"/>
      <c r="F876" s="190"/>
      <c r="G876" s="190"/>
      <c r="H876" s="190"/>
      <c r="I876" s="190"/>
      <c r="J876" s="190"/>
      <c r="K876" s="190"/>
      <c r="L876" s="190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 spans="1:26" ht="12.75" customHeight="1">
      <c r="A877" s="190"/>
      <c r="B877" s="190"/>
      <c r="C877" s="190"/>
      <c r="D877" s="190"/>
      <c r="E877" s="190"/>
      <c r="F877" s="190"/>
      <c r="G877" s="190"/>
      <c r="H877" s="190"/>
      <c r="I877" s="190"/>
      <c r="J877" s="190"/>
      <c r="K877" s="190"/>
      <c r="L877" s="190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 spans="1:26" ht="12.75" customHeight="1">
      <c r="A878" s="190"/>
      <c r="B878" s="190"/>
      <c r="C878" s="190"/>
      <c r="D878" s="190"/>
      <c r="E878" s="190"/>
      <c r="F878" s="190"/>
      <c r="G878" s="190"/>
      <c r="H878" s="190"/>
      <c r="I878" s="190"/>
      <c r="J878" s="190"/>
      <c r="K878" s="190"/>
      <c r="L878" s="190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 spans="1:26" ht="12.75" customHeight="1">
      <c r="A879" s="190"/>
      <c r="B879" s="190"/>
      <c r="C879" s="190"/>
      <c r="D879" s="190"/>
      <c r="E879" s="190"/>
      <c r="F879" s="190"/>
      <c r="G879" s="190"/>
      <c r="H879" s="190"/>
      <c r="I879" s="190"/>
      <c r="J879" s="190"/>
      <c r="K879" s="190"/>
      <c r="L879" s="190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 spans="1:26" ht="12.75" customHeight="1">
      <c r="A880" s="190"/>
      <c r="B880" s="190"/>
      <c r="C880" s="190"/>
      <c r="D880" s="190"/>
      <c r="E880" s="190"/>
      <c r="F880" s="190"/>
      <c r="G880" s="190"/>
      <c r="H880" s="190"/>
      <c r="I880" s="190"/>
      <c r="J880" s="190"/>
      <c r="K880" s="190"/>
      <c r="L880" s="190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 spans="1:26" ht="12.75" customHeight="1">
      <c r="A881" s="190"/>
      <c r="B881" s="190"/>
      <c r="C881" s="190"/>
      <c r="D881" s="190"/>
      <c r="E881" s="190"/>
      <c r="F881" s="190"/>
      <c r="G881" s="190"/>
      <c r="H881" s="190"/>
      <c r="I881" s="190"/>
      <c r="J881" s="190"/>
      <c r="K881" s="190"/>
      <c r="L881" s="190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 spans="1:26" ht="12.75" customHeight="1">
      <c r="A882" s="190"/>
      <c r="B882" s="190"/>
      <c r="C882" s="190"/>
      <c r="D882" s="190"/>
      <c r="E882" s="190"/>
      <c r="F882" s="190"/>
      <c r="G882" s="190"/>
      <c r="H882" s="190"/>
      <c r="I882" s="190"/>
      <c r="J882" s="190"/>
      <c r="K882" s="190"/>
      <c r="L882" s="190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 spans="1:26" ht="12.75" customHeight="1">
      <c r="A883" s="190"/>
      <c r="B883" s="190"/>
      <c r="C883" s="190"/>
      <c r="D883" s="190"/>
      <c r="E883" s="190"/>
      <c r="F883" s="190"/>
      <c r="G883" s="190"/>
      <c r="H883" s="190"/>
      <c r="I883" s="190"/>
      <c r="J883" s="190"/>
      <c r="K883" s="190"/>
      <c r="L883" s="190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 spans="1:26" ht="12.75" customHeight="1">
      <c r="A884" s="190"/>
      <c r="B884" s="190"/>
      <c r="C884" s="190"/>
      <c r="D884" s="190"/>
      <c r="E884" s="190"/>
      <c r="F884" s="190"/>
      <c r="G884" s="190"/>
      <c r="H884" s="190"/>
      <c r="I884" s="190"/>
      <c r="J884" s="190"/>
      <c r="K884" s="190"/>
      <c r="L884" s="190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 spans="1:26" ht="12.75" customHeight="1">
      <c r="A885" s="190"/>
      <c r="B885" s="190"/>
      <c r="C885" s="190"/>
      <c r="D885" s="190"/>
      <c r="E885" s="190"/>
      <c r="F885" s="190"/>
      <c r="G885" s="190"/>
      <c r="H885" s="190"/>
      <c r="I885" s="190"/>
      <c r="J885" s="190"/>
      <c r="K885" s="190"/>
      <c r="L885" s="190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 spans="1:26" ht="12.75" customHeight="1">
      <c r="A886" s="190"/>
      <c r="B886" s="190"/>
      <c r="C886" s="190"/>
      <c r="D886" s="190"/>
      <c r="E886" s="190"/>
      <c r="F886" s="190"/>
      <c r="G886" s="190"/>
      <c r="H886" s="190"/>
      <c r="I886" s="190"/>
      <c r="J886" s="190"/>
      <c r="K886" s="190"/>
      <c r="L886" s="190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 spans="1:26" ht="12.75" customHeight="1">
      <c r="A887" s="190"/>
      <c r="B887" s="190"/>
      <c r="C887" s="190"/>
      <c r="D887" s="190"/>
      <c r="E887" s="190"/>
      <c r="F887" s="190"/>
      <c r="G887" s="190"/>
      <c r="H887" s="190"/>
      <c r="I887" s="190"/>
      <c r="J887" s="190"/>
      <c r="K887" s="190"/>
      <c r="L887" s="190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 spans="1:26" ht="12.75" customHeight="1">
      <c r="A888" s="190"/>
      <c r="B888" s="190"/>
      <c r="C888" s="190"/>
      <c r="D888" s="190"/>
      <c r="E888" s="190"/>
      <c r="F888" s="190"/>
      <c r="G888" s="190"/>
      <c r="H888" s="190"/>
      <c r="I888" s="190"/>
      <c r="J888" s="190"/>
      <c r="K888" s="190"/>
      <c r="L888" s="190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 spans="1:26" ht="12.75" customHeight="1">
      <c r="A889" s="190"/>
      <c r="B889" s="190"/>
      <c r="C889" s="190"/>
      <c r="D889" s="190"/>
      <c r="E889" s="190"/>
      <c r="F889" s="190"/>
      <c r="G889" s="190"/>
      <c r="H889" s="190"/>
      <c r="I889" s="190"/>
      <c r="J889" s="190"/>
      <c r="K889" s="190"/>
      <c r="L889" s="190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 spans="1:26" ht="12.75" customHeight="1">
      <c r="A890" s="190"/>
      <c r="B890" s="190"/>
      <c r="C890" s="190"/>
      <c r="D890" s="190"/>
      <c r="E890" s="190"/>
      <c r="F890" s="190"/>
      <c r="G890" s="190"/>
      <c r="H890" s="190"/>
      <c r="I890" s="190"/>
      <c r="J890" s="190"/>
      <c r="K890" s="190"/>
      <c r="L890" s="190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 spans="1:26" ht="12.75" customHeight="1">
      <c r="A891" s="190"/>
      <c r="B891" s="190"/>
      <c r="C891" s="190"/>
      <c r="D891" s="190"/>
      <c r="E891" s="190"/>
      <c r="F891" s="190"/>
      <c r="G891" s="190"/>
      <c r="H891" s="190"/>
      <c r="I891" s="190"/>
      <c r="J891" s="190"/>
      <c r="K891" s="190"/>
      <c r="L891" s="190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 spans="1:26" ht="12.75" customHeight="1">
      <c r="A892" s="190"/>
      <c r="B892" s="190"/>
      <c r="C892" s="190"/>
      <c r="D892" s="190"/>
      <c r="E892" s="190"/>
      <c r="F892" s="190"/>
      <c r="G892" s="190"/>
      <c r="H892" s="190"/>
      <c r="I892" s="190"/>
      <c r="J892" s="190"/>
      <c r="K892" s="190"/>
      <c r="L892" s="190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 spans="1:26" ht="12.75" customHeight="1">
      <c r="A893" s="190"/>
      <c r="B893" s="190"/>
      <c r="C893" s="190"/>
      <c r="D893" s="190"/>
      <c r="E893" s="190"/>
      <c r="F893" s="190"/>
      <c r="G893" s="190"/>
      <c r="H893" s="190"/>
      <c r="I893" s="190"/>
      <c r="J893" s="190"/>
      <c r="K893" s="190"/>
      <c r="L893" s="190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 spans="1:26" ht="12.75" customHeight="1">
      <c r="A894" s="190"/>
      <c r="B894" s="190"/>
      <c r="C894" s="190"/>
      <c r="D894" s="190"/>
      <c r="E894" s="190"/>
      <c r="F894" s="190"/>
      <c r="G894" s="190"/>
      <c r="H894" s="190"/>
      <c r="I894" s="190"/>
      <c r="J894" s="190"/>
      <c r="K894" s="190"/>
      <c r="L894" s="190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 spans="1:26" ht="12.75" customHeight="1">
      <c r="A895" s="190"/>
      <c r="B895" s="190"/>
      <c r="C895" s="190"/>
      <c r="D895" s="190"/>
      <c r="E895" s="190"/>
      <c r="F895" s="190"/>
      <c r="G895" s="190"/>
      <c r="H895" s="190"/>
      <c r="I895" s="190"/>
      <c r="J895" s="190"/>
      <c r="K895" s="190"/>
      <c r="L895" s="190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 spans="1:26" ht="12.75" customHeight="1">
      <c r="A896" s="190"/>
      <c r="B896" s="190"/>
      <c r="C896" s="190"/>
      <c r="D896" s="190"/>
      <c r="E896" s="190"/>
      <c r="F896" s="190"/>
      <c r="G896" s="190"/>
      <c r="H896" s="190"/>
      <c r="I896" s="190"/>
      <c r="J896" s="190"/>
      <c r="K896" s="190"/>
      <c r="L896" s="190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 spans="1:26" ht="12.75" customHeight="1">
      <c r="A897" s="190"/>
      <c r="B897" s="190"/>
      <c r="C897" s="190"/>
      <c r="D897" s="190"/>
      <c r="E897" s="190"/>
      <c r="F897" s="190"/>
      <c r="G897" s="190"/>
      <c r="H897" s="190"/>
      <c r="I897" s="190"/>
      <c r="J897" s="190"/>
      <c r="K897" s="190"/>
      <c r="L897" s="190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 spans="1:26" ht="12.75" customHeight="1">
      <c r="A898" s="190"/>
      <c r="B898" s="190"/>
      <c r="C898" s="190"/>
      <c r="D898" s="190"/>
      <c r="E898" s="190"/>
      <c r="F898" s="190"/>
      <c r="G898" s="190"/>
      <c r="H898" s="190"/>
      <c r="I898" s="190"/>
      <c r="J898" s="190"/>
      <c r="K898" s="190"/>
      <c r="L898" s="190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 spans="1:26" ht="12.75" customHeight="1">
      <c r="A899" s="190"/>
      <c r="B899" s="190"/>
      <c r="C899" s="190"/>
      <c r="D899" s="190"/>
      <c r="E899" s="190"/>
      <c r="F899" s="190"/>
      <c r="G899" s="190"/>
      <c r="H899" s="190"/>
      <c r="I899" s="190"/>
      <c r="J899" s="190"/>
      <c r="K899" s="190"/>
      <c r="L899" s="190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 spans="1:26" ht="12.75" customHeight="1">
      <c r="A900" s="190"/>
      <c r="B900" s="190"/>
      <c r="C900" s="190"/>
      <c r="D900" s="190"/>
      <c r="E900" s="190"/>
      <c r="F900" s="190"/>
      <c r="G900" s="190"/>
      <c r="H900" s="190"/>
      <c r="I900" s="190"/>
      <c r="J900" s="190"/>
      <c r="K900" s="190"/>
      <c r="L900" s="190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 spans="1:26" ht="12.75" customHeight="1">
      <c r="A901" s="190"/>
      <c r="B901" s="190"/>
      <c r="C901" s="190"/>
      <c r="D901" s="190"/>
      <c r="E901" s="190"/>
      <c r="F901" s="190"/>
      <c r="G901" s="190"/>
      <c r="H901" s="190"/>
      <c r="I901" s="190"/>
      <c r="J901" s="190"/>
      <c r="K901" s="190"/>
      <c r="L901" s="190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 spans="1:26" ht="12.75" customHeight="1">
      <c r="A902" s="190"/>
      <c r="B902" s="190"/>
      <c r="C902" s="190"/>
      <c r="D902" s="190"/>
      <c r="E902" s="190"/>
      <c r="F902" s="190"/>
      <c r="G902" s="190"/>
      <c r="H902" s="190"/>
      <c r="I902" s="190"/>
      <c r="J902" s="190"/>
      <c r="K902" s="190"/>
      <c r="L902" s="190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 spans="1:26" ht="12.75" customHeight="1">
      <c r="A903" s="190"/>
      <c r="B903" s="190"/>
      <c r="C903" s="190"/>
      <c r="D903" s="190"/>
      <c r="E903" s="190"/>
      <c r="F903" s="190"/>
      <c r="G903" s="190"/>
      <c r="H903" s="190"/>
      <c r="I903" s="190"/>
      <c r="J903" s="190"/>
      <c r="K903" s="190"/>
      <c r="L903" s="190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 spans="1:26" ht="12.75" customHeight="1">
      <c r="A904" s="190"/>
      <c r="B904" s="190"/>
      <c r="C904" s="190"/>
      <c r="D904" s="190"/>
      <c r="E904" s="190"/>
      <c r="F904" s="190"/>
      <c r="G904" s="190"/>
      <c r="H904" s="190"/>
      <c r="I904" s="190"/>
      <c r="J904" s="190"/>
      <c r="K904" s="190"/>
      <c r="L904" s="190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 spans="1:26" ht="12.75" customHeight="1">
      <c r="A905" s="190"/>
      <c r="B905" s="190"/>
      <c r="C905" s="190"/>
      <c r="D905" s="190"/>
      <c r="E905" s="190"/>
      <c r="F905" s="190"/>
      <c r="G905" s="190"/>
      <c r="H905" s="190"/>
      <c r="I905" s="190"/>
      <c r="J905" s="190"/>
      <c r="K905" s="190"/>
      <c r="L905" s="190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 spans="1:26" ht="12.75" customHeight="1">
      <c r="A906" s="190"/>
      <c r="B906" s="190"/>
      <c r="C906" s="190"/>
      <c r="D906" s="190"/>
      <c r="E906" s="190"/>
      <c r="F906" s="190"/>
      <c r="G906" s="190"/>
      <c r="H906" s="190"/>
      <c r="I906" s="190"/>
      <c r="J906" s="190"/>
      <c r="K906" s="190"/>
      <c r="L906" s="190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 spans="1:26" ht="12.75" customHeight="1">
      <c r="A907" s="190"/>
      <c r="B907" s="190"/>
      <c r="C907" s="190"/>
      <c r="D907" s="190"/>
      <c r="E907" s="190"/>
      <c r="F907" s="190"/>
      <c r="G907" s="190"/>
      <c r="H907" s="190"/>
      <c r="I907" s="190"/>
      <c r="J907" s="190"/>
      <c r="K907" s="190"/>
      <c r="L907" s="190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 spans="1:26" ht="12.75" customHeight="1">
      <c r="A908" s="190"/>
      <c r="B908" s="190"/>
      <c r="C908" s="190"/>
      <c r="D908" s="190"/>
      <c r="E908" s="190"/>
      <c r="F908" s="190"/>
      <c r="G908" s="190"/>
      <c r="H908" s="190"/>
      <c r="I908" s="190"/>
      <c r="J908" s="190"/>
      <c r="K908" s="190"/>
      <c r="L908" s="190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 spans="1:26" ht="12.75" customHeight="1">
      <c r="A909" s="190"/>
      <c r="B909" s="190"/>
      <c r="C909" s="190"/>
      <c r="D909" s="190"/>
      <c r="E909" s="190"/>
      <c r="F909" s="190"/>
      <c r="G909" s="190"/>
      <c r="H909" s="190"/>
      <c r="I909" s="190"/>
      <c r="J909" s="190"/>
      <c r="K909" s="190"/>
      <c r="L909" s="190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 spans="1:26" ht="12.75" customHeight="1">
      <c r="A910" s="190"/>
      <c r="B910" s="190"/>
      <c r="C910" s="190"/>
      <c r="D910" s="190"/>
      <c r="E910" s="190"/>
      <c r="F910" s="190"/>
      <c r="G910" s="190"/>
      <c r="H910" s="190"/>
      <c r="I910" s="190"/>
      <c r="J910" s="190"/>
      <c r="K910" s="190"/>
      <c r="L910" s="190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 spans="1:26" ht="12.75" customHeight="1">
      <c r="A911" s="190"/>
      <c r="B911" s="190"/>
      <c r="C911" s="190"/>
      <c r="D911" s="190"/>
      <c r="E911" s="190"/>
      <c r="F911" s="190"/>
      <c r="G911" s="190"/>
      <c r="H911" s="190"/>
      <c r="I911" s="190"/>
      <c r="J911" s="190"/>
      <c r="K911" s="190"/>
      <c r="L911" s="190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 spans="1:26" ht="12.75" customHeight="1">
      <c r="A912" s="190"/>
      <c r="B912" s="190"/>
      <c r="C912" s="190"/>
      <c r="D912" s="190"/>
      <c r="E912" s="190"/>
      <c r="F912" s="190"/>
      <c r="G912" s="190"/>
      <c r="H912" s="190"/>
      <c r="I912" s="190"/>
      <c r="J912" s="190"/>
      <c r="K912" s="190"/>
      <c r="L912" s="190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 spans="1:26" ht="12.75" customHeight="1">
      <c r="A913" s="190"/>
      <c r="B913" s="190"/>
      <c r="C913" s="190"/>
      <c r="D913" s="190"/>
      <c r="E913" s="190"/>
      <c r="F913" s="190"/>
      <c r="G913" s="190"/>
      <c r="H913" s="190"/>
      <c r="I913" s="190"/>
      <c r="J913" s="190"/>
      <c r="K913" s="190"/>
      <c r="L913" s="190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 spans="1:26" ht="12.75" customHeight="1">
      <c r="A914" s="190"/>
      <c r="B914" s="190"/>
      <c r="C914" s="190"/>
      <c r="D914" s="190"/>
      <c r="E914" s="190"/>
      <c r="F914" s="190"/>
      <c r="G914" s="190"/>
      <c r="H914" s="190"/>
      <c r="I914" s="190"/>
      <c r="J914" s="190"/>
      <c r="K914" s="190"/>
      <c r="L914" s="190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 spans="1:26" ht="12.75" customHeight="1">
      <c r="A915" s="190"/>
      <c r="B915" s="190"/>
      <c r="C915" s="190"/>
      <c r="D915" s="190"/>
      <c r="E915" s="190"/>
      <c r="F915" s="190"/>
      <c r="G915" s="190"/>
      <c r="H915" s="190"/>
      <c r="I915" s="190"/>
      <c r="J915" s="190"/>
      <c r="K915" s="190"/>
      <c r="L915" s="190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 spans="1:26" ht="12.75" customHeight="1">
      <c r="A916" s="190"/>
      <c r="B916" s="190"/>
      <c r="C916" s="190"/>
      <c r="D916" s="190"/>
      <c r="E916" s="190"/>
      <c r="F916" s="190"/>
      <c r="G916" s="190"/>
      <c r="H916" s="190"/>
      <c r="I916" s="190"/>
      <c r="J916" s="190"/>
      <c r="K916" s="190"/>
      <c r="L916" s="190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 spans="1:26" ht="12.75" customHeight="1">
      <c r="A917" s="190"/>
      <c r="B917" s="190"/>
      <c r="C917" s="190"/>
      <c r="D917" s="190"/>
      <c r="E917" s="190"/>
      <c r="F917" s="190"/>
      <c r="G917" s="190"/>
      <c r="H917" s="190"/>
      <c r="I917" s="190"/>
      <c r="J917" s="190"/>
      <c r="K917" s="190"/>
      <c r="L917" s="190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 spans="1:26" ht="12.75" customHeight="1">
      <c r="A918" s="190"/>
      <c r="B918" s="190"/>
      <c r="C918" s="190"/>
      <c r="D918" s="190"/>
      <c r="E918" s="190"/>
      <c r="F918" s="190"/>
      <c r="G918" s="190"/>
      <c r="H918" s="190"/>
      <c r="I918" s="190"/>
      <c r="J918" s="190"/>
      <c r="K918" s="190"/>
      <c r="L918" s="190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 spans="1:26" ht="12.75" customHeight="1">
      <c r="A919" s="190"/>
      <c r="B919" s="190"/>
      <c r="C919" s="190"/>
      <c r="D919" s="190"/>
      <c r="E919" s="190"/>
      <c r="F919" s="190"/>
      <c r="G919" s="190"/>
      <c r="H919" s="190"/>
      <c r="I919" s="190"/>
      <c r="J919" s="190"/>
      <c r="K919" s="190"/>
      <c r="L919" s="190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 spans="1:26" ht="12.75" customHeight="1">
      <c r="A920" s="190"/>
      <c r="B920" s="190"/>
      <c r="C920" s="190"/>
      <c r="D920" s="190"/>
      <c r="E920" s="190"/>
      <c r="F920" s="190"/>
      <c r="G920" s="190"/>
      <c r="H920" s="190"/>
      <c r="I920" s="190"/>
      <c r="J920" s="190"/>
      <c r="K920" s="190"/>
      <c r="L920" s="190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 spans="1:26" ht="12.75" customHeight="1">
      <c r="A921" s="190"/>
      <c r="B921" s="190"/>
      <c r="C921" s="190"/>
      <c r="D921" s="190"/>
      <c r="E921" s="190"/>
      <c r="F921" s="190"/>
      <c r="G921" s="190"/>
      <c r="H921" s="190"/>
      <c r="I921" s="190"/>
      <c r="J921" s="190"/>
      <c r="K921" s="190"/>
      <c r="L921" s="190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 spans="1:26" ht="12.75" customHeight="1">
      <c r="A922" s="190"/>
      <c r="B922" s="190"/>
      <c r="C922" s="190"/>
      <c r="D922" s="190"/>
      <c r="E922" s="190"/>
      <c r="F922" s="190"/>
      <c r="G922" s="190"/>
      <c r="H922" s="190"/>
      <c r="I922" s="190"/>
      <c r="J922" s="190"/>
      <c r="K922" s="190"/>
      <c r="L922" s="190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 spans="1:26" ht="12.75" customHeight="1">
      <c r="A923" s="190"/>
      <c r="B923" s="190"/>
      <c r="C923" s="190"/>
      <c r="D923" s="190"/>
      <c r="E923" s="190"/>
      <c r="F923" s="190"/>
      <c r="G923" s="190"/>
      <c r="H923" s="190"/>
      <c r="I923" s="190"/>
      <c r="J923" s="190"/>
      <c r="K923" s="190"/>
      <c r="L923" s="190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 spans="1:26" ht="12.75" customHeight="1">
      <c r="A924" s="190"/>
      <c r="B924" s="190"/>
      <c r="C924" s="190"/>
      <c r="D924" s="190"/>
      <c r="E924" s="190"/>
      <c r="F924" s="190"/>
      <c r="G924" s="190"/>
      <c r="H924" s="190"/>
      <c r="I924" s="190"/>
      <c r="J924" s="190"/>
      <c r="K924" s="190"/>
      <c r="L924" s="190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 spans="1:26" ht="12.75" customHeight="1">
      <c r="A925" s="190"/>
      <c r="B925" s="190"/>
      <c r="C925" s="190"/>
      <c r="D925" s="190"/>
      <c r="E925" s="190"/>
      <c r="F925" s="190"/>
      <c r="G925" s="190"/>
      <c r="H925" s="190"/>
      <c r="I925" s="190"/>
      <c r="J925" s="190"/>
      <c r="K925" s="190"/>
      <c r="L925" s="190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 spans="1:26" ht="12.75" customHeight="1">
      <c r="A926" s="190"/>
      <c r="B926" s="190"/>
      <c r="C926" s="190"/>
      <c r="D926" s="190"/>
      <c r="E926" s="190"/>
      <c r="F926" s="190"/>
      <c r="G926" s="190"/>
      <c r="H926" s="190"/>
      <c r="I926" s="190"/>
      <c r="J926" s="190"/>
      <c r="K926" s="190"/>
      <c r="L926" s="190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 spans="1:26" ht="12.75" customHeight="1">
      <c r="A927" s="190"/>
      <c r="B927" s="190"/>
      <c r="C927" s="190"/>
      <c r="D927" s="190"/>
      <c r="E927" s="190"/>
      <c r="F927" s="190"/>
      <c r="G927" s="190"/>
      <c r="H927" s="190"/>
      <c r="I927" s="190"/>
      <c r="J927" s="190"/>
      <c r="K927" s="190"/>
      <c r="L927" s="190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 spans="1:26" ht="12.75" customHeight="1">
      <c r="A928" s="190"/>
      <c r="B928" s="190"/>
      <c r="C928" s="190"/>
      <c r="D928" s="190"/>
      <c r="E928" s="190"/>
      <c r="F928" s="190"/>
      <c r="G928" s="190"/>
      <c r="H928" s="190"/>
      <c r="I928" s="190"/>
      <c r="J928" s="190"/>
      <c r="K928" s="190"/>
      <c r="L928" s="190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 spans="1:26" ht="12.75" customHeight="1">
      <c r="A929" s="190"/>
      <c r="B929" s="190"/>
      <c r="C929" s="190"/>
      <c r="D929" s="190"/>
      <c r="E929" s="190"/>
      <c r="F929" s="190"/>
      <c r="G929" s="190"/>
      <c r="H929" s="190"/>
      <c r="I929" s="190"/>
      <c r="J929" s="190"/>
      <c r="K929" s="190"/>
      <c r="L929" s="190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 spans="1:26" ht="12.75" customHeight="1">
      <c r="A930" s="190"/>
      <c r="B930" s="190"/>
      <c r="C930" s="190"/>
      <c r="D930" s="190"/>
      <c r="E930" s="190"/>
      <c r="F930" s="190"/>
      <c r="G930" s="190"/>
      <c r="H930" s="190"/>
      <c r="I930" s="190"/>
      <c r="J930" s="190"/>
      <c r="K930" s="190"/>
      <c r="L930" s="190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 spans="1:26" ht="12.75" customHeight="1">
      <c r="A931" s="190"/>
      <c r="B931" s="190"/>
      <c r="C931" s="190"/>
      <c r="D931" s="190"/>
      <c r="E931" s="190"/>
      <c r="F931" s="190"/>
      <c r="G931" s="190"/>
      <c r="H931" s="190"/>
      <c r="I931" s="190"/>
      <c r="J931" s="190"/>
      <c r="K931" s="190"/>
      <c r="L931" s="190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 spans="1:26" ht="12.75" customHeight="1">
      <c r="A932" s="190"/>
      <c r="B932" s="190"/>
      <c r="C932" s="190"/>
      <c r="D932" s="190"/>
      <c r="E932" s="190"/>
      <c r="F932" s="190"/>
      <c r="G932" s="190"/>
      <c r="H932" s="190"/>
      <c r="I932" s="190"/>
      <c r="J932" s="190"/>
      <c r="K932" s="190"/>
      <c r="L932" s="190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 spans="1:26" ht="12.75" customHeight="1">
      <c r="A933" s="190"/>
      <c r="B933" s="190"/>
      <c r="C933" s="190"/>
      <c r="D933" s="190"/>
      <c r="E933" s="190"/>
      <c r="F933" s="190"/>
      <c r="G933" s="190"/>
      <c r="H933" s="190"/>
      <c r="I933" s="190"/>
      <c r="J933" s="190"/>
      <c r="K933" s="190"/>
      <c r="L933" s="190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 spans="1:26" ht="12.75" customHeight="1">
      <c r="A934" s="190"/>
      <c r="B934" s="190"/>
      <c r="C934" s="190"/>
      <c r="D934" s="190"/>
      <c r="E934" s="190"/>
      <c r="F934" s="190"/>
      <c r="G934" s="190"/>
      <c r="H934" s="190"/>
      <c r="I934" s="190"/>
      <c r="J934" s="190"/>
      <c r="K934" s="190"/>
      <c r="L934" s="190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 spans="1:26" ht="12.75" customHeight="1">
      <c r="A935" s="190"/>
      <c r="B935" s="190"/>
      <c r="C935" s="190"/>
      <c r="D935" s="190"/>
      <c r="E935" s="190"/>
      <c r="F935" s="190"/>
      <c r="G935" s="190"/>
      <c r="H935" s="190"/>
      <c r="I935" s="190"/>
      <c r="J935" s="190"/>
      <c r="K935" s="190"/>
      <c r="L935" s="190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 spans="1:26" ht="12.75" customHeight="1">
      <c r="A936" s="190"/>
      <c r="B936" s="190"/>
      <c r="C936" s="190"/>
      <c r="D936" s="190"/>
      <c r="E936" s="190"/>
      <c r="F936" s="190"/>
      <c r="G936" s="190"/>
      <c r="H936" s="190"/>
      <c r="I936" s="190"/>
      <c r="J936" s="190"/>
      <c r="K936" s="190"/>
      <c r="L936" s="190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 spans="1:26" ht="12.75" customHeight="1">
      <c r="A937" s="190"/>
      <c r="B937" s="190"/>
      <c r="C937" s="190"/>
      <c r="D937" s="190"/>
      <c r="E937" s="190"/>
      <c r="F937" s="190"/>
      <c r="G937" s="190"/>
      <c r="H937" s="190"/>
      <c r="I937" s="190"/>
      <c r="J937" s="190"/>
      <c r="K937" s="190"/>
      <c r="L937" s="190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 spans="1:26" ht="12.75" customHeight="1">
      <c r="A938" s="190"/>
      <c r="B938" s="190"/>
      <c r="C938" s="190"/>
      <c r="D938" s="190"/>
      <c r="E938" s="190"/>
      <c r="F938" s="190"/>
      <c r="G938" s="190"/>
      <c r="H938" s="190"/>
      <c r="I938" s="190"/>
      <c r="J938" s="190"/>
      <c r="K938" s="190"/>
      <c r="L938" s="190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 spans="1:26" ht="12.75" customHeight="1">
      <c r="A939" s="190"/>
      <c r="B939" s="190"/>
      <c r="C939" s="190"/>
      <c r="D939" s="190"/>
      <c r="E939" s="190"/>
      <c r="F939" s="190"/>
      <c r="G939" s="190"/>
      <c r="H939" s="190"/>
      <c r="I939" s="190"/>
      <c r="J939" s="190"/>
      <c r="K939" s="190"/>
      <c r="L939" s="190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 spans="1:26" ht="12.75" customHeight="1">
      <c r="A940" s="190"/>
      <c r="B940" s="190"/>
      <c r="C940" s="190"/>
      <c r="D940" s="190"/>
      <c r="E940" s="190"/>
      <c r="F940" s="190"/>
      <c r="G940" s="190"/>
      <c r="H940" s="190"/>
      <c r="I940" s="190"/>
      <c r="J940" s="190"/>
      <c r="K940" s="190"/>
      <c r="L940" s="190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 spans="1:26" ht="12.75" customHeight="1">
      <c r="A941" s="190"/>
      <c r="B941" s="190"/>
      <c r="C941" s="190"/>
      <c r="D941" s="190"/>
      <c r="E941" s="190"/>
      <c r="F941" s="190"/>
      <c r="G941" s="190"/>
      <c r="H941" s="190"/>
      <c r="I941" s="190"/>
      <c r="J941" s="190"/>
      <c r="K941" s="190"/>
      <c r="L941" s="190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 spans="1:26" ht="12.75" customHeight="1">
      <c r="A942" s="190"/>
      <c r="B942" s="190"/>
      <c r="C942" s="190"/>
      <c r="D942" s="190"/>
      <c r="E942" s="190"/>
      <c r="F942" s="190"/>
      <c r="G942" s="190"/>
      <c r="H942" s="190"/>
      <c r="I942" s="190"/>
      <c r="J942" s="190"/>
      <c r="K942" s="190"/>
      <c r="L942" s="190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 spans="1:26" ht="12.75" customHeight="1">
      <c r="A943" s="190"/>
      <c r="B943" s="190"/>
      <c r="C943" s="190"/>
      <c r="D943" s="190"/>
      <c r="E943" s="190"/>
      <c r="F943" s="190"/>
      <c r="G943" s="190"/>
      <c r="H943" s="190"/>
      <c r="I943" s="190"/>
      <c r="J943" s="190"/>
      <c r="K943" s="190"/>
      <c r="L943" s="190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 spans="1:26" ht="12.75" customHeight="1">
      <c r="A944" s="190"/>
      <c r="B944" s="190"/>
      <c r="C944" s="190"/>
      <c r="D944" s="190"/>
      <c r="E944" s="190"/>
      <c r="F944" s="190"/>
      <c r="G944" s="190"/>
      <c r="H944" s="190"/>
      <c r="I944" s="190"/>
      <c r="J944" s="190"/>
      <c r="K944" s="190"/>
      <c r="L944" s="190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 spans="1:26" ht="12.75" customHeight="1">
      <c r="A945" s="190"/>
      <c r="B945" s="190"/>
      <c r="C945" s="190"/>
      <c r="D945" s="190"/>
      <c r="E945" s="190"/>
      <c r="F945" s="190"/>
      <c r="G945" s="190"/>
      <c r="H945" s="190"/>
      <c r="I945" s="190"/>
      <c r="J945" s="190"/>
      <c r="K945" s="190"/>
      <c r="L945" s="190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 spans="1:26" ht="12.75" customHeight="1">
      <c r="A946" s="190"/>
      <c r="B946" s="190"/>
      <c r="C946" s="190"/>
      <c r="D946" s="190"/>
      <c r="E946" s="190"/>
      <c r="F946" s="190"/>
      <c r="G946" s="190"/>
      <c r="H946" s="190"/>
      <c r="I946" s="190"/>
      <c r="J946" s="190"/>
      <c r="K946" s="190"/>
      <c r="L946" s="190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 spans="1:26" ht="12.75" customHeight="1">
      <c r="A947" s="190"/>
      <c r="B947" s="190"/>
      <c r="C947" s="190"/>
      <c r="D947" s="190"/>
      <c r="E947" s="190"/>
      <c r="F947" s="190"/>
      <c r="G947" s="190"/>
      <c r="H947" s="190"/>
      <c r="I947" s="190"/>
      <c r="J947" s="190"/>
      <c r="K947" s="190"/>
      <c r="L947" s="190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 spans="1:26" ht="12.75" customHeight="1">
      <c r="A948" s="190"/>
      <c r="B948" s="190"/>
      <c r="C948" s="190"/>
      <c r="D948" s="190"/>
      <c r="E948" s="190"/>
      <c r="F948" s="190"/>
      <c r="G948" s="190"/>
      <c r="H948" s="190"/>
      <c r="I948" s="190"/>
      <c r="J948" s="190"/>
      <c r="K948" s="190"/>
      <c r="L948" s="190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 spans="1:26" ht="12.75" customHeight="1">
      <c r="A949" s="190"/>
      <c r="B949" s="190"/>
      <c r="C949" s="190"/>
      <c r="D949" s="190"/>
      <c r="E949" s="190"/>
      <c r="F949" s="190"/>
      <c r="G949" s="190"/>
      <c r="H949" s="190"/>
      <c r="I949" s="190"/>
      <c r="J949" s="190"/>
      <c r="K949" s="190"/>
      <c r="L949" s="190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 spans="1:26" ht="12.75" customHeight="1">
      <c r="A950" s="190"/>
      <c r="B950" s="190"/>
      <c r="C950" s="190"/>
      <c r="D950" s="190"/>
      <c r="E950" s="190"/>
      <c r="F950" s="190"/>
      <c r="G950" s="190"/>
      <c r="H950" s="190"/>
      <c r="I950" s="190"/>
      <c r="J950" s="190"/>
      <c r="K950" s="190"/>
      <c r="L950" s="190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 spans="1:26" ht="12.75" customHeight="1">
      <c r="A951" s="190"/>
      <c r="B951" s="190"/>
      <c r="C951" s="190"/>
      <c r="D951" s="190"/>
      <c r="E951" s="190"/>
      <c r="F951" s="190"/>
      <c r="G951" s="190"/>
      <c r="H951" s="190"/>
      <c r="I951" s="190"/>
      <c r="J951" s="190"/>
      <c r="K951" s="190"/>
      <c r="L951" s="190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 spans="1:26" ht="12.75" customHeight="1">
      <c r="A952" s="190"/>
      <c r="B952" s="190"/>
      <c r="C952" s="190"/>
      <c r="D952" s="190"/>
      <c r="E952" s="190"/>
      <c r="F952" s="190"/>
      <c r="G952" s="190"/>
      <c r="H952" s="190"/>
      <c r="I952" s="190"/>
      <c r="J952" s="190"/>
      <c r="K952" s="190"/>
      <c r="L952" s="190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 spans="1:26" ht="12.75" customHeight="1">
      <c r="A953" s="190"/>
      <c r="B953" s="190"/>
      <c r="C953" s="190"/>
      <c r="D953" s="190"/>
      <c r="E953" s="190"/>
      <c r="F953" s="190"/>
      <c r="G953" s="190"/>
      <c r="H953" s="190"/>
      <c r="I953" s="190"/>
      <c r="J953" s="190"/>
      <c r="K953" s="190"/>
      <c r="L953" s="190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 spans="1:26" ht="12.75" customHeight="1">
      <c r="A954" s="190"/>
      <c r="B954" s="190"/>
      <c r="C954" s="190"/>
      <c r="D954" s="190"/>
      <c r="E954" s="190"/>
      <c r="F954" s="190"/>
      <c r="G954" s="190"/>
      <c r="H954" s="190"/>
      <c r="I954" s="190"/>
      <c r="J954" s="190"/>
      <c r="K954" s="190"/>
      <c r="L954" s="190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 spans="1:26" ht="12.75" customHeight="1">
      <c r="A955" s="190"/>
      <c r="B955" s="190"/>
      <c r="C955" s="190"/>
      <c r="D955" s="190"/>
      <c r="E955" s="190"/>
      <c r="F955" s="190"/>
      <c r="G955" s="190"/>
      <c r="H955" s="190"/>
      <c r="I955" s="190"/>
      <c r="J955" s="190"/>
      <c r="K955" s="190"/>
      <c r="L955" s="190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 spans="1:26" ht="12.75" customHeight="1">
      <c r="A956" s="190"/>
      <c r="B956" s="190"/>
      <c r="C956" s="190"/>
      <c r="D956" s="190"/>
      <c r="E956" s="190"/>
      <c r="F956" s="190"/>
      <c r="G956" s="190"/>
      <c r="H956" s="190"/>
      <c r="I956" s="190"/>
      <c r="J956" s="190"/>
      <c r="K956" s="190"/>
      <c r="L956" s="190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 spans="1:26" ht="12.75" customHeight="1">
      <c r="A957" s="190"/>
      <c r="B957" s="190"/>
      <c r="C957" s="190"/>
      <c r="D957" s="190"/>
      <c r="E957" s="190"/>
      <c r="F957" s="190"/>
      <c r="G957" s="190"/>
      <c r="H957" s="190"/>
      <c r="I957" s="190"/>
      <c r="J957" s="190"/>
      <c r="K957" s="190"/>
      <c r="L957" s="190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 spans="1:26" ht="12.75" customHeight="1">
      <c r="A958" s="190"/>
      <c r="B958" s="190"/>
      <c r="C958" s="190"/>
      <c r="D958" s="190"/>
      <c r="E958" s="190"/>
      <c r="F958" s="190"/>
      <c r="G958" s="190"/>
      <c r="H958" s="190"/>
      <c r="I958" s="190"/>
      <c r="J958" s="190"/>
      <c r="K958" s="190"/>
      <c r="L958" s="190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 spans="1:26" ht="12.75" customHeight="1">
      <c r="A959" s="190"/>
      <c r="B959" s="190"/>
      <c r="C959" s="190"/>
      <c r="D959" s="190"/>
      <c r="E959" s="190"/>
      <c r="F959" s="190"/>
      <c r="G959" s="190"/>
      <c r="H959" s="190"/>
      <c r="I959" s="190"/>
      <c r="J959" s="190"/>
      <c r="K959" s="190"/>
      <c r="L959" s="190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 spans="1:26" ht="12.75" customHeight="1">
      <c r="A960" s="190"/>
      <c r="B960" s="190"/>
      <c r="C960" s="190"/>
      <c r="D960" s="190"/>
      <c r="E960" s="190"/>
      <c r="F960" s="190"/>
      <c r="G960" s="190"/>
      <c r="H960" s="190"/>
      <c r="I960" s="190"/>
      <c r="J960" s="190"/>
      <c r="K960" s="190"/>
      <c r="L960" s="190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 spans="1:26" ht="12.75" customHeight="1">
      <c r="A961" s="190"/>
      <c r="B961" s="190"/>
      <c r="C961" s="190"/>
      <c r="D961" s="190"/>
      <c r="E961" s="190"/>
      <c r="F961" s="190"/>
      <c r="G961" s="190"/>
      <c r="H961" s="190"/>
      <c r="I961" s="190"/>
      <c r="J961" s="190"/>
      <c r="K961" s="190"/>
      <c r="L961" s="190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 spans="1:26" ht="12.75" customHeight="1">
      <c r="A962" s="190"/>
      <c r="B962" s="190"/>
      <c r="C962" s="190"/>
      <c r="D962" s="190"/>
      <c r="E962" s="190"/>
      <c r="F962" s="190"/>
      <c r="G962" s="190"/>
      <c r="H962" s="190"/>
      <c r="I962" s="190"/>
      <c r="J962" s="190"/>
      <c r="K962" s="190"/>
      <c r="L962" s="190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 spans="1:26" ht="12.75" customHeight="1">
      <c r="A963" s="190"/>
      <c r="B963" s="190"/>
      <c r="C963" s="190"/>
      <c r="D963" s="190"/>
      <c r="E963" s="190"/>
      <c r="F963" s="190"/>
      <c r="G963" s="190"/>
      <c r="H963" s="190"/>
      <c r="I963" s="190"/>
      <c r="J963" s="190"/>
      <c r="K963" s="190"/>
      <c r="L963" s="190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 spans="1:26" ht="12.75" customHeight="1">
      <c r="A964" s="190"/>
      <c r="B964" s="190"/>
      <c r="C964" s="190"/>
      <c r="D964" s="190"/>
      <c r="E964" s="190"/>
      <c r="F964" s="190"/>
      <c r="G964" s="190"/>
      <c r="H964" s="190"/>
      <c r="I964" s="190"/>
      <c r="J964" s="190"/>
      <c r="K964" s="190"/>
      <c r="L964" s="190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 spans="1:26" ht="12.75" customHeight="1">
      <c r="A965" s="190"/>
      <c r="B965" s="190"/>
      <c r="C965" s="190"/>
      <c r="D965" s="190"/>
      <c r="E965" s="190"/>
      <c r="F965" s="190"/>
      <c r="G965" s="190"/>
      <c r="H965" s="190"/>
      <c r="I965" s="190"/>
      <c r="J965" s="190"/>
      <c r="K965" s="190"/>
      <c r="L965" s="190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 spans="1:26" ht="12.75" customHeight="1">
      <c r="A966" s="190"/>
      <c r="B966" s="190"/>
      <c r="C966" s="190"/>
      <c r="D966" s="190"/>
      <c r="E966" s="190"/>
      <c r="F966" s="190"/>
      <c r="G966" s="190"/>
      <c r="H966" s="190"/>
      <c r="I966" s="190"/>
      <c r="J966" s="190"/>
      <c r="K966" s="190"/>
      <c r="L966" s="190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 spans="1:26" ht="12.75" customHeight="1">
      <c r="A967" s="190"/>
      <c r="B967" s="190"/>
      <c r="C967" s="190"/>
      <c r="D967" s="190"/>
      <c r="E967" s="190"/>
      <c r="F967" s="190"/>
      <c r="G967" s="190"/>
      <c r="H967" s="190"/>
      <c r="I967" s="190"/>
      <c r="J967" s="190"/>
      <c r="K967" s="190"/>
      <c r="L967" s="190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 spans="1:26" ht="12.75" customHeight="1">
      <c r="A968" s="190"/>
      <c r="B968" s="190"/>
      <c r="C968" s="190"/>
      <c r="D968" s="190"/>
      <c r="E968" s="190"/>
      <c r="F968" s="190"/>
      <c r="G968" s="190"/>
      <c r="H968" s="190"/>
      <c r="I968" s="190"/>
      <c r="J968" s="190"/>
      <c r="K968" s="190"/>
      <c r="L968" s="190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 spans="1:26" ht="12.75" customHeight="1">
      <c r="A969" s="190"/>
      <c r="B969" s="190"/>
      <c r="C969" s="190"/>
      <c r="D969" s="190"/>
      <c r="E969" s="190"/>
      <c r="F969" s="190"/>
      <c r="G969" s="190"/>
      <c r="H969" s="190"/>
      <c r="I969" s="190"/>
      <c r="J969" s="190"/>
      <c r="K969" s="190"/>
      <c r="L969" s="190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 spans="1:26" ht="12.75" customHeight="1">
      <c r="A970" s="190"/>
      <c r="B970" s="190"/>
      <c r="C970" s="190"/>
      <c r="D970" s="190"/>
      <c r="E970" s="190"/>
      <c r="F970" s="190"/>
      <c r="G970" s="190"/>
      <c r="H970" s="190"/>
      <c r="I970" s="190"/>
      <c r="J970" s="190"/>
      <c r="K970" s="190"/>
      <c r="L970" s="190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 spans="1:26" ht="12.75" customHeight="1">
      <c r="A971" s="190"/>
      <c r="B971" s="190"/>
      <c r="C971" s="190"/>
      <c r="D971" s="190"/>
      <c r="E971" s="190"/>
      <c r="F971" s="190"/>
      <c r="G971" s="190"/>
      <c r="H971" s="190"/>
      <c r="I971" s="190"/>
      <c r="J971" s="190"/>
      <c r="K971" s="190"/>
      <c r="L971" s="190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 spans="1:26" ht="12.75" customHeight="1">
      <c r="A972" s="190"/>
      <c r="B972" s="190"/>
      <c r="C972" s="190"/>
      <c r="D972" s="190"/>
      <c r="E972" s="190"/>
      <c r="F972" s="190"/>
      <c r="G972" s="190"/>
      <c r="H972" s="190"/>
      <c r="I972" s="190"/>
      <c r="J972" s="190"/>
      <c r="K972" s="190"/>
      <c r="L972" s="190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 spans="1:26" ht="12.75" customHeight="1">
      <c r="A973" s="190"/>
      <c r="B973" s="190"/>
      <c r="C973" s="190"/>
      <c r="D973" s="190"/>
      <c r="E973" s="190"/>
      <c r="F973" s="190"/>
      <c r="G973" s="190"/>
      <c r="H973" s="190"/>
      <c r="I973" s="190"/>
      <c r="J973" s="190"/>
      <c r="K973" s="190"/>
      <c r="L973" s="190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 spans="1:26" ht="12.75" customHeight="1">
      <c r="A974" s="190"/>
      <c r="B974" s="190"/>
      <c r="C974" s="190"/>
      <c r="D974" s="190"/>
      <c r="E974" s="190"/>
      <c r="F974" s="190"/>
      <c r="G974" s="190"/>
      <c r="H974" s="190"/>
      <c r="I974" s="190"/>
      <c r="J974" s="190"/>
      <c r="K974" s="190"/>
      <c r="L974" s="190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 spans="1:26" ht="12.75" customHeight="1">
      <c r="A975" s="190"/>
      <c r="B975" s="190"/>
      <c r="C975" s="190"/>
      <c r="D975" s="190"/>
      <c r="E975" s="190"/>
      <c r="F975" s="190"/>
      <c r="G975" s="190"/>
      <c r="H975" s="190"/>
      <c r="I975" s="190"/>
      <c r="J975" s="190"/>
      <c r="K975" s="190"/>
      <c r="L975" s="190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 spans="1:26" ht="12.75" customHeight="1">
      <c r="A976" s="190"/>
      <c r="B976" s="190"/>
      <c r="C976" s="190"/>
      <c r="D976" s="190"/>
      <c r="E976" s="190"/>
      <c r="F976" s="190"/>
      <c r="G976" s="190"/>
      <c r="H976" s="190"/>
      <c r="I976" s="190"/>
      <c r="J976" s="190"/>
      <c r="K976" s="190"/>
      <c r="L976" s="190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 spans="1:26" ht="12.75" customHeight="1">
      <c r="A977" s="190"/>
      <c r="B977" s="190"/>
      <c r="C977" s="190"/>
      <c r="D977" s="190"/>
      <c r="E977" s="190"/>
      <c r="F977" s="190"/>
      <c r="G977" s="190"/>
      <c r="H977" s="190"/>
      <c r="I977" s="190"/>
      <c r="J977" s="190"/>
      <c r="K977" s="190"/>
      <c r="L977" s="190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 spans="1:26" ht="12.75" customHeight="1">
      <c r="A978" s="190"/>
      <c r="B978" s="190"/>
      <c r="C978" s="190"/>
      <c r="D978" s="190"/>
      <c r="E978" s="190"/>
      <c r="F978" s="190"/>
      <c r="G978" s="190"/>
      <c r="H978" s="190"/>
      <c r="I978" s="190"/>
      <c r="J978" s="190"/>
      <c r="K978" s="190"/>
      <c r="L978" s="190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 spans="1:26" ht="12.75" customHeight="1">
      <c r="A979" s="190"/>
      <c r="B979" s="190"/>
      <c r="C979" s="190"/>
      <c r="D979" s="190"/>
      <c r="E979" s="190"/>
      <c r="F979" s="190"/>
      <c r="G979" s="190"/>
      <c r="H979" s="190"/>
      <c r="I979" s="190"/>
      <c r="J979" s="190"/>
      <c r="K979" s="190"/>
      <c r="L979" s="190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 spans="1:26" ht="12.75" customHeight="1">
      <c r="A980" s="190"/>
      <c r="B980" s="190"/>
      <c r="C980" s="190"/>
      <c r="D980" s="190"/>
      <c r="E980" s="190"/>
      <c r="F980" s="190"/>
      <c r="G980" s="190"/>
      <c r="H980" s="190"/>
      <c r="I980" s="190"/>
      <c r="J980" s="190"/>
      <c r="K980" s="190"/>
      <c r="L980" s="190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 spans="1:26" ht="12.75" customHeight="1">
      <c r="A981" s="190"/>
      <c r="B981" s="190"/>
      <c r="C981" s="190"/>
      <c r="D981" s="190"/>
      <c r="E981" s="190"/>
      <c r="F981" s="190"/>
      <c r="G981" s="190"/>
      <c r="H981" s="190"/>
      <c r="I981" s="190"/>
      <c r="J981" s="190"/>
      <c r="K981" s="190"/>
      <c r="L981" s="190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 spans="1:26" ht="12.75" customHeight="1">
      <c r="A982" s="190"/>
      <c r="B982" s="190"/>
      <c r="C982" s="190"/>
      <c r="D982" s="190"/>
      <c r="E982" s="190"/>
      <c r="F982" s="190"/>
      <c r="G982" s="190"/>
      <c r="H982" s="190"/>
      <c r="I982" s="190"/>
      <c r="J982" s="190"/>
      <c r="K982" s="190"/>
      <c r="L982" s="190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 spans="1:26" ht="12.75" customHeight="1">
      <c r="A983" s="190"/>
      <c r="B983" s="190"/>
      <c r="C983" s="190"/>
      <c r="D983" s="190"/>
      <c r="E983" s="190"/>
      <c r="F983" s="190"/>
      <c r="G983" s="190"/>
      <c r="H983" s="190"/>
      <c r="I983" s="190"/>
      <c r="J983" s="190"/>
      <c r="K983" s="190"/>
      <c r="L983" s="190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 spans="1:26" ht="12.75" customHeight="1">
      <c r="A984" s="190"/>
      <c r="B984" s="190"/>
      <c r="C984" s="190"/>
      <c r="D984" s="190"/>
      <c r="E984" s="190"/>
      <c r="F984" s="190"/>
      <c r="G984" s="190"/>
      <c r="H984" s="190"/>
      <c r="I984" s="190"/>
      <c r="J984" s="190"/>
      <c r="K984" s="190"/>
      <c r="L984" s="190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 spans="1:26" ht="12.75" customHeight="1">
      <c r="A985" s="190"/>
      <c r="B985" s="190"/>
      <c r="C985" s="190"/>
      <c r="D985" s="190"/>
      <c r="E985" s="190"/>
      <c r="F985" s="190"/>
      <c r="G985" s="190"/>
      <c r="H985" s="190"/>
      <c r="I985" s="190"/>
      <c r="J985" s="190"/>
      <c r="K985" s="190"/>
      <c r="L985" s="190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 spans="1:26" ht="12.75" customHeight="1">
      <c r="A986" s="190"/>
      <c r="B986" s="190"/>
      <c r="C986" s="190"/>
      <c r="D986" s="190"/>
      <c r="E986" s="190"/>
      <c r="F986" s="190"/>
      <c r="G986" s="190"/>
      <c r="H986" s="190"/>
      <c r="I986" s="190"/>
      <c r="J986" s="190"/>
      <c r="K986" s="190"/>
      <c r="L986" s="190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 spans="1:26" ht="12.75" customHeight="1">
      <c r="A987" s="190"/>
      <c r="B987" s="190"/>
      <c r="C987" s="190"/>
      <c r="D987" s="190"/>
      <c r="E987" s="190"/>
      <c r="F987" s="190"/>
      <c r="G987" s="190"/>
      <c r="H987" s="190"/>
      <c r="I987" s="190"/>
      <c r="J987" s="190"/>
      <c r="K987" s="190"/>
      <c r="L987" s="190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 spans="1:26" ht="12.75" customHeight="1">
      <c r="A988" s="190"/>
      <c r="B988" s="190"/>
      <c r="C988" s="190"/>
      <c r="D988" s="190"/>
      <c r="E988" s="190"/>
      <c r="F988" s="190"/>
      <c r="G988" s="190"/>
      <c r="H988" s="190"/>
      <c r="I988" s="190"/>
      <c r="J988" s="190"/>
      <c r="K988" s="190"/>
      <c r="L988" s="190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 spans="1:26" ht="12.75" customHeight="1">
      <c r="A989" s="190"/>
      <c r="B989" s="190"/>
      <c r="C989" s="190"/>
      <c r="D989" s="190"/>
      <c r="E989" s="190"/>
      <c r="F989" s="190"/>
      <c r="G989" s="190"/>
      <c r="H989" s="190"/>
      <c r="I989" s="190"/>
      <c r="J989" s="190"/>
      <c r="K989" s="190"/>
      <c r="L989" s="190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 spans="1:26" ht="12.75" customHeight="1">
      <c r="A990" s="190"/>
      <c r="B990" s="190"/>
      <c r="C990" s="190"/>
      <c r="D990" s="190"/>
      <c r="E990" s="190"/>
      <c r="F990" s="190"/>
      <c r="G990" s="190"/>
      <c r="H990" s="190"/>
      <c r="I990" s="190"/>
      <c r="J990" s="190"/>
      <c r="K990" s="190"/>
      <c r="L990" s="190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 spans="1:26" ht="12.75" customHeight="1">
      <c r="A991" s="190"/>
      <c r="B991" s="190"/>
      <c r="C991" s="190"/>
      <c r="D991" s="190"/>
      <c r="E991" s="190"/>
      <c r="F991" s="190"/>
      <c r="G991" s="190"/>
      <c r="H991" s="190"/>
      <c r="I991" s="190"/>
      <c r="J991" s="190"/>
      <c r="K991" s="190"/>
      <c r="L991" s="190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 spans="1:26" ht="12.75" customHeight="1">
      <c r="A992" s="190"/>
      <c r="B992" s="190"/>
      <c r="C992" s="190"/>
      <c r="D992" s="190"/>
      <c r="E992" s="190"/>
      <c r="F992" s="190"/>
      <c r="G992" s="190"/>
      <c r="H992" s="190"/>
      <c r="I992" s="190"/>
      <c r="J992" s="190"/>
      <c r="K992" s="190"/>
      <c r="L992" s="190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 spans="1:26" ht="12.75" customHeight="1">
      <c r="A993" s="190"/>
      <c r="B993" s="190"/>
      <c r="C993" s="190"/>
      <c r="D993" s="190"/>
      <c r="E993" s="190"/>
      <c r="F993" s="190"/>
      <c r="G993" s="190"/>
      <c r="H993" s="190"/>
      <c r="I993" s="190"/>
      <c r="J993" s="190"/>
      <c r="K993" s="190"/>
      <c r="L993" s="190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 spans="1:26" ht="12.75" customHeight="1">
      <c r="A994" s="190"/>
      <c r="B994" s="190"/>
      <c r="C994" s="190"/>
      <c r="D994" s="190"/>
      <c r="E994" s="190"/>
      <c r="F994" s="190"/>
      <c r="G994" s="190"/>
      <c r="H994" s="190"/>
      <c r="I994" s="190"/>
      <c r="J994" s="190"/>
      <c r="K994" s="190"/>
      <c r="L994" s="190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 spans="1:26" ht="12.75" customHeight="1">
      <c r="A995" s="190"/>
      <c r="B995" s="190"/>
      <c r="C995" s="190"/>
      <c r="D995" s="190"/>
      <c r="E995" s="190"/>
      <c r="F995" s="190"/>
      <c r="G995" s="190"/>
      <c r="H995" s="190"/>
      <c r="I995" s="190"/>
      <c r="J995" s="190"/>
      <c r="K995" s="190"/>
      <c r="L995" s="190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 spans="1:26" ht="12.75" customHeight="1">
      <c r="A996" s="190"/>
      <c r="B996" s="190"/>
      <c r="C996" s="190"/>
      <c r="D996" s="190"/>
      <c r="E996" s="190"/>
      <c r="F996" s="190"/>
      <c r="G996" s="190"/>
      <c r="H996" s="190"/>
      <c r="I996" s="190"/>
      <c r="J996" s="190"/>
      <c r="K996" s="190"/>
      <c r="L996" s="190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 spans="1:26" ht="12.75" customHeight="1">
      <c r="A997" s="190"/>
      <c r="B997" s="190"/>
      <c r="C997" s="190"/>
      <c r="D997" s="190"/>
      <c r="E997" s="190"/>
      <c r="F997" s="190"/>
      <c r="G997" s="190"/>
      <c r="H997" s="190"/>
      <c r="I997" s="190"/>
      <c r="J997" s="190"/>
      <c r="K997" s="190"/>
      <c r="L997" s="190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 spans="1:26" ht="12.75" customHeight="1">
      <c r="A998" s="190"/>
      <c r="B998" s="190"/>
      <c r="C998" s="190"/>
      <c r="D998" s="190"/>
      <c r="E998" s="190"/>
      <c r="F998" s="190"/>
      <c r="G998" s="190"/>
      <c r="H998" s="190"/>
      <c r="I998" s="190"/>
      <c r="J998" s="190"/>
      <c r="K998" s="190"/>
      <c r="L998" s="190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 spans="1:26" ht="12.75" customHeight="1">
      <c r="A999" s="190"/>
      <c r="B999" s="190"/>
      <c r="C999" s="190"/>
      <c r="D999" s="190"/>
      <c r="E999" s="190"/>
      <c r="F999" s="190"/>
      <c r="G999" s="190"/>
      <c r="H999" s="190"/>
      <c r="I999" s="190"/>
      <c r="J999" s="190"/>
      <c r="K999" s="190"/>
      <c r="L999" s="190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 spans="1:26" ht="12.75" customHeight="1">
      <c r="A1000" s="190"/>
      <c r="B1000" s="190"/>
      <c r="C1000" s="190"/>
      <c r="D1000" s="190"/>
      <c r="E1000" s="190"/>
      <c r="F1000" s="190"/>
      <c r="G1000" s="190"/>
      <c r="H1000" s="190"/>
      <c r="I1000" s="190"/>
      <c r="J1000" s="190"/>
      <c r="K1000" s="190"/>
      <c r="L1000" s="190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</sheetData>
  <mergeCells count="1">
    <mergeCell ref="A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RESOURCE GEDUNG MS PRO</vt:lpstr>
      <vt:lpstr>INPUT WORKS GEDUNG MS PRO</vt:lpstr>
      <vt:lpstr>INPUT WORKS EMBUNG MS PRO</vt:lpstr>
      <vt:lpstr>INPUT RESOURCE EMBUNG MS PRO</vt:lpstr>
      <vt:lpstr>INPUT WORKS JALAN MS PRO </vt:lpstr>
      <vt:lpstr>INPUT RESOURCE SHEET MS 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Baihaqi Aryaseta Suherman</dc:creator>
  <cp:lastModifiedBy>Akhmad Alif</cp:lastModifiedBy>
  <dcterms:created xsi:type="dcterms:W3CDTF">2026-10-03T08:32:44Z</dcterms:created>
  <dcterms:modified xsi:type="dcterms:W3CDTF">2026-10-03T12:15:56Z</dcterms:modified>
</cp:coreProperties>
</file>